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ce/Desktop/NOCICEPTIN/ RO - Organizados/Machos/2 - Antes do TR/"/>
    </mc:Choice>
  </mc:AlternateContent>
  <xr:revisionPtr revIDLastSave="0" documentId="13_ncr:1_{D9676402-B790-0D4E-9F69-E55C102C2371}" xr6:coauthVersionLast="47" xr6:coauthVersionMax="47" xr10:uidLastSave="{00000000-0000-0000-0000-000000000000}"/>
  <bookViews>
    <workbookView xWindow="0" yWindow="500" windowWidth="51200" windowHeight="26580" activeTab="3" xr2:uid="{00000000-000D-0000-FFFF-FFFF00000000}"/>
  </bookViews>
  <sheets>
    <sheet name="All Evt Detail" sheetId="1" r:id="rId1"/>
    <sheet name="All Evt Summary" sheetId="2" r:id="rId2"/>
    <sheet name="Bin Measure" sheetId="3" r:id="rId3"/>
    <sheet name="OR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" i="4" l="1"/>
  <c r="Y13" i="4"/>
  <c r="X13" i="4"/>
  <c r="W13" i="4"/>
  <c r="Z12" i="4"/>
  <c r="Y12" i="4"/>
  <c r="X12" i="4"/>
  <c r="W12" i="4"/>
  <c r="Z11" i="4"/>
  <c r="Y11" i="4"/>
  <c r="X11" i="4"/>
  <c r="W11" i="4"/>
  <c r="Z10" i="4"/>
  <c r="Y10" i="4"/>
  <c r="X10" i="4"/>
  <c r="W10" i="4"/>
  <c r="Z23" i="4"/>
  <c r="Y23" i="4"/>
  <c r="X23" i="4"/>
  <c r="W23" i="4"/>
  <c r="Z17" i="4"/>
  <c r="Y17" i="4"/>
  <c r="X17" i="4"/>
  <c r="W17" i="4"/>
  <c r="Z21" i="4"/>
  <c r="Y21" i="4"/>
  <c r="X21" i="4"/>
  <c r="W21" i="4"/>
  <c r="Z16" i="4"/>
  <c r="Y16" i="4"/>
  <c r="X16" i="4"/>
  <c r="W16" i="4"/>
  <c r="Z9" i="4"/>
  <c r="Y9" i="4"/>
  <c r="X9" i="4"/>
  <c r="W9" i="4"/>
  <c r="Z15" i="4"/>
  <c r="Y15" i="4"/>
  <c r="X15" i="4"/>
  <c r="W15" i="4"/>
  <c r="Z20" i="4"/>
  <c r="Y20" i="4"/>
  <c r="X20" i="4"/>
  <c r="W20" i="4"/>
  <c r="Z19" i="4"/>
  <c r="Y19" i="4"/>
  <c r="X19" i="4"/>
  <c r="W19" i="4"/>
  <c r="I20" i="4"/>
  <c r="J20" i="4"/>
  <c r="K20" i="4"/>
  <c r="L20" i="4"/>
  <c r="I15" i="4"/>
  <c r="J15" i="4"/>
  <c r="K15" i="4"/>
  <c r="L15" i="4"/>
  <c r="I9" i="4"/>
  <c r="J9" i="4"/>
  <c r="K9" i="4"/>
  <c r="L9" i="4"/>
  <c r="I16" i="4"/>
  <c r="J16" i="4"/>
  <c r="K16" i="4"/>
  <c r="L16" i="4"/>
  <c r="I21" i="4"/>
  <c r="J21" i="4"/>
  <c r="K21" i="4"/>
  <c r="L21" i="4"/>
  <c r="I17" i="4"/>
  <c r="J17" i="4"/>
  <c r="K17" i="4"/>
  <c r="L17" i="4"/>
  <c r="I23" i="4"/>
  <c r="J23" i="4"/>
  <c r="K23" i="4"/>
  <c r="L23" i="4"/>
  <c r="I10" i="4"/>
  <c r="J10" i="4"/>
  <c r="K10" i="4"/>
  <c r="L10" i="4"/>
  <c r="I11" i="4"/>
  <c r="J11" i="4"/>
  <c r="K11" i="4"/>
  <c r="L11" i="4"/>
  <c r="I12" i="4"/>
  <c r="J12" i="4"/>
  <c r="K12" i="4"/>
  <c r="L12" i="4"/>
  <c r="I13" i="4"/>
  <c r="J13" i="4"/>
  <c r="K13" i="4"/>
  <c r="L13" i="4"/>
  <c r="L19" i="4"/>
  <c r="K19" i="4"/>
  <c r="J19" i="4"/>
  <c r="I19" i="4"/>
</calcChain>
</file>

<file path=xl/sharedStrings.xml><?xml version="1.0" encoding="utf-8"?>
<sst xmlns="http://schemas.openxmlformats.org/spreadsheetml/2006/main" count="1349" uniqueCount="79">
  <si>
    <t>Event Bin Result of Trials -- N-OFQ ANTES DO TR 22.05.24</t>
  </si>
  <si>
    <t>Trial Num</t>
  </si>
  <si>
    <t>Bin Size:</t>
  </si>
  <si>
    <t>300.0 seconds</t>
  </si>
  <si>
    <t>Bin Number:</t>
  </si>
  <si>
    <t>Trial ID</t>
  </si>
  <si>
    <t>Video Name</t>
  </si>
  <si>
    <t>Arena</t>
  </si>
  <si>
    <t>BOX</t>
  </si>
  <si>
    <t>ANIMAL</t>
  </si>
  <si>
    <t>DAY</t>
  </si>
  <si>
    <t>OBJECTS</t>
  </si>
  <si>
    <t>DRUG</t>
  </si>
  <si>
    <t>Events</t>
  </si>
  <si>
    <t xml:space="preserve"> Bouts1 </t>
  </si>
  <si>
    <t>Total Bouts</t>
  </si>
  <si>
    <t xml:space="preserve">Duration1(Second) </t>
  </si>
  <si>
    <t>Total Duration(Second)</t>
  </si>
  <si>
    <t>Latency(Second)</t>
  </si>
  <si>
    <t>Ending time(Second) of First Bout</t>
  </si>
  <si>
    <t>Bin Measure Results of Trials -- N-OFQ ANTES DO TR 22.05.24</t>
  </si>
  <si>
    <t>Measure</t>
  </si>
  <si>
    <t>TR 1-2-3.MPG</t>
  </si>
  <si>
    <t>1</t>
  </si>
  <si>
    <t>AA</t>
  </si>
  <si>
    <t>0.1</t>
  </si>
  <si>
    <t>Mouse 1 sniffing On OBJA</t>
  </si>
  <si>
    <t>Mouse 1 sniffing On OBJA1</t>
  </si>
  <si>
    <t>2</t>
  </si>
  <si>
    <t>BB</t>
  </si>
  <si>
    <t>0.3</t>
  </si>
  <si>
    <t>Mouse 1 sniffing On OBJB</t>
  </si>
  <si>
    <t>Mouse 1 sniffing On OBJB1</t>
  </si>
  <si>
    <t>3</t>
  </si>
  <si>
    <t>CC</t>
  </si>
  <si>
    <t>Veh</t>
  </si>
  <si>
    <t>Mouse 1 sniffing On OBJC</t>
  </si>
  <si>
    <t>Mouse 1 sniffing On OBJC1</t>
  </si>
  <si>
    <t>TR 5-6-7.MPG</t>
  </si>
  <si>
    <t>5</t>
  </si>
  <si>
    <t>6</t>
  </si>
  <si>
    <t>7</t>
  </si>
  <si>
    <t>TR 8-9-10.MPG</t>
  </si>
  <si>
    <t>8</t>
  </si>
  <si>
    <t>9</t>
  </si>
  <si>
    <t>10</t>
  </si>
  <si>
    <t>TR 12-13-14.MPG</t>
  </si>
  <si>
    <t>12</t>
  </si>
  <si>
    <t>13</t>
  </si>
  <si>
    <t>14</t>
  </si>
  <si>
    <t>TR 17-18-19.MPG</t>
  </si>
  <si>
    <t>17</t>
  </si>
  <si>
    <t>18</t>
  </si>
  <si>
    <t>19</t>
  </si>
  <si>
    <t>RA 1-2-X.MPG</t>
  </si>
  <si>
    <t>AG</t>
  </si>
  <si>
    <t xml:space="preserve"> </t>
  </si>
  <si>
    <t>Mouse 1 sniffing On OBJG</t>
  </si>
  <si>
    <t>BG</t>
  </si>
  <si>
    <t>RA 5-6-7.MPG</t>
  </si>
  <si>
    <t>CG</t>
  </si>
  <si>
    <t>RA 8-9-10.MPG</t>
  </si>
  <si>
    <t>RA 12-13-X.MPG</t>
  </si>
  <si>
    <t>RA 17-18-19.MPG</t>
  </si>
  <si>
    <t>Mouse 1 sniffing On OBJA Average</t>
  </si>
  <si>
    <t>Mouse 1 sniffing On OBJA1 Average</t>
  </si>
  <si>
    <t>Mouse 1 sniffing On OBJB Average</t>
  </si>
  <si>
    <t>Mouse 1 sniffing On OBJB1 Average</t>
  </si>
  <si>
    <t>Mouse 1 sniffing On OBJC Average</t>
  </si>
  <si>
    <t>Mouse 1 sniffing On OBJC1 Average</t>
  </si>
  <si>
    <t>Mouse 1 sniffing On OBJG Average</t>
  </si>
  <si>
    <t>Event Bin Result of Trials Summary -- N-OFQ ANTES DO TR 22.05.24</t>
  </si>
  <si>
    <t>lat</t>
  </si>
  <si>
    <t>fim</t>
  </si>
  <si>
    <t>TREINO</t>
  </si>
  <si>
    <t>%X</t>
  </si>
  <si>
    <t>%X1</t>
  </si>
  <si>
    <t>DI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</si>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</sst>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0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16.1640625" bestFit="1" customWidth="1"/>
    <col min="3" max="3" width="6.33203125" bestFit="1" customWidth="1"/>
    <col min="4" max="4" width="12.1640625" bestFit="1" customWidth="1"/>
    <col min="5" max="5" width="8.33203125" bestFit="1" customWidth="1"/>
    <col min="6" max="6" width="4.6640625" bestFit="1" customWidth="1"/>
    <col min="7" max="7" width="8.5" bestFit="1" customWidth="1"/>
    <col min="8" max="8" width="6.33203125" bestFit="1" customWidth="1"/>
    <col min="9" max="9" width="33.1640625" bestFit="1" customWidth="1"/>
    <col min="10" max="10" width="7.83203125" bestFit="1" customWidth="1"/>
    <col min="11" max="11" width="10.83203125" bestFit="1" customWidth="1"/>
    <col min="12" max="12" width="18.33203125" bestFit="1" customWidth="1"/>
    <col min="13" max="13" width="21.83203125" bestFit="1" customWidth="1"/>
    <col min="14" max="14" width="15.6640625" customWidth="1"/>
    <col min="15" max="15" width="31.33203125" bestFit="1" customWidth="1"/>
  </cols>
  <sheetData>
    <row r="1" spans="1:15" x14ac:dyDescent="0.2">
      <c r="A1" s="2" t="s">
        <v>0</v>
      </c>
    </row>
    <row r="3" spans="1:15" x14ac:dyDescent="0.2">
      <c r="A3" t="s">
        <v>1</v>
      </c>
      <c r="B3">
        <v>28</v>
      </c>
    </row>
    <row r="5" spans="1:15" x14ac:dyDescent="0.2">
      <c r="A5" s="3" t="s">
        <v>2</v>
      </c>
      <c r="B5" t="s">
        <v>3</v>
      </c>
      <c r="D5" s="3" t="s">
        <v>4</v>
      </c>
      <c r="E5">
        <v>1</v>
      </c>
    </row>
    <row r="7" spans="1:15" x14ac:dyDescent="0.2">
      <c r="A7" s="3" t="s">
        <v>5</v>
      </c>
      <c r="B7" s="3" t="s">
        <v>6</v>
      </c>
      <c r="C7" s="3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18</v>
      </c>
      <c r="O7" s="3" t="s">
        <v>19</v>
      </c>
    </row>
    <row r="8" spans="1:15" x14ac:dyDescent="0.2">
      <c r="A8">
        <v>1</v>
      </c>
      <c r="B8" t="s">
        <v>22</v>
      </c>
      <c r="C8">
        <v>1</v>
      </c>
      <c r="D8" s="4" t="s">
        <v>23</v>
      </c>
      <c r="E8" s="4" t="s">
        <v>23</v>
      </c>
      <c r="F8" s="4" t="s">
        <v>23</v>
      </c>
      <c r="G8" s="4" t="s">
        <v>24</v>
      </c>
      <c r="H8" s="4" t="s">
        <v>25</v>
      </c>
      <c r="I8" t="s">
        <v>26</v>
      </c>
      <c r="J8">
        <v>3</v>
      </c>
      <c r="K8">
        <v>3</v>
      </c>
      <c r="L8">
        <v>3.17</v>
      </c>
      <c r="M8">
        <v>3.17</v>
      </c>
      <c r="N8">
        <v>81.209999999999994</v>
      </c>
      <c r="O8">
        <v>83.98</v>
      </c>
    </row>
    <row r="9" spans="1:15" x14ac:dyDescent="0.2">
      <c r="A9">
        <v>2</v>
      </c>
      <c r="B9" t="s">
        <v>22</v>
      </c>
      <c r="C9">
        <v>2</v>
      </c>
      <c r="D9" s="4" t="s">
        <v>28</v>
      </c>
      <c r="E9" s="4" t="s">
        <v>28</v>
      </c>
      <c r="F9" s="4" t="s">
        <v>23</v>
      </c>
      <c r="G9" s="4" t="s">
        <v>29</v>
      </c>
      <c r="H9" s="4" t="s">
        <v>30</v>
      </c>
    </row>
    <row r="10" spans="1:15" x14ac:dyDescent="0.2">
      <c r="A10">
        <v>3</v>
      </c>
      <c r="B10" t="s">
        <v>22</v>
      </c>
      <c r="C10">
        <v>3</v>
      </c>
      <c r="D10" s="4" t="s">
        <v>33</v>
      </c>
      <c r="E10" s="4" t="s">
        <v>33</v>
      </c>
      <c r="F10" s="4" t="s">
        <v>23</v>
      </c>
      <c r="G10" s="4" t="s">
        <v>34</v>
      </c>
      <c r="H10" s="4" t="s">
        <v>35</v>
      </c>
    </row>
    <row r="11" spans="1:15" x14ac:dyDescent="0.2">
      <c r="A11">
        <v>4</v>
      </c>
      <c r="B11" t="s">
        <v>38</v>
      </c>
      <c r="C11">
        <v>1</v>
      </c>
      <c r="D11" s="4" t="s">
        <v>23</v>
      </c>
      <c r="E11" s="4" t="s">
        <v>39</v>
      </c>
      <c r="F11" s="4" t="s">
        <v>23</v>
      </c>
      <c r="G11" s="4" t="s">
        <v>24</v>
      </c>
      <c r="H11" s="4" t="s">
        <v>30</v>
      </c>
      <c r="I11" t="s">
        <v>26</v>
      </c>
      <c r="J11">
        <v>7</v>
      </c>
      <c r="K11">
        <v>7</v>
      </c>
      <c r="L11">
        <v>14.15</v>
      </c>
      <c r="M11">
        <v>14.15</v>
      </c>
      <c r="N11">
        <v>13.75</v>
      </c>
      <c r="O11">
        <v>20.22</v>
      </c>
    </row>
    <row r="12" spans="1:15" x14ac:dyDescent="0.2">
      <c r="A12">
        <v>5</v>
      </c>
      <c r="B12" t="s">
        <v>38</v>
      </c>
      <c r="C12">
        <v>2</v>
      </c>
      <c r="D12" s="4" t="s">
        <v>28</v>
      </c>
      <c r="E12" s="4" t="s">
        <v>40</v>
      </c>
      <c r="F12" s="4" t="s">
        <v>23</v>
      </c>
      <c r="G12" s="4" t="s">
        <v>29</v>
      </c>
      <c r="H12" s="4" t="s">
        <v>25</v>
      </c>
    </row>
    <row r="13" spans="1:15" x14ac:dyDescent="0.2">
      <c r="A13">
        <v>6</v>
      </c>
      <c r="B13" t="s">
        <v>38</v>
      </c>
      <c r="C13">
        <v>3</v>
      </c>
      <c r="D13" s="4" t="s">
        <v>33</v>
      </c>
      <c r="E13" s="4" t="s">
        <v>41</v>
      </c>
      <c r="F13" s="4" t="s">
        <v>23</v>
      </c>
      <c r="G13" s="4" t="s">
        <v>34</v>
      </c>
      <c r="H13" s="4" t="s">
        <v>35</v>
      </c>
    </row>
    <row r="14" spans="1:15" x14ac:dyDescent="0.2">
      <c r="A14">
        <v>7</v>
      </c>
      <c r="B14" t="s">
        <v>42</v>
      </c>
      <c r="C14">
        <v>1</v>
      </c>
      <c r="D14" s="4" t="s">
        <v>23</v>
      </c>
      <c r="E14" s="4" t="s">
        <v>43</v>
      </c>
      <c r="F14" s="4" t="s">
        <v>23</v>
      </c>
      <c r="G14" s="4" t="s">
        <v>24</v>
      </c>
      <c r="H14" s="4" t="s">
        <v>25</v>
      </c>
      <c r="I14" t="s">
        <v>26</v>
      </c>
      <c r="J14">
        <v>4</v>
      </c>
      <c r="K14">
        <v>4</v>
      </c>
      <c r="L14">
        <v>8.61</v>
      </c>
      <c r="M14">
        <v>8.61</v>
      </c>
      <c r="N14">
        <v>11.85</v>
      </c>
      <c r="O14">
        <v>17.82</v>
      </c>
    </row>
    <row r="15" spans="1:15" x14ac:dyDescent="0.2">
      <c r="A15">
        <v>8</v>
      </c>
      <c r="B15" t="s">
        <v>42</v>
      </c>
      <c r="C15">
        <v>2</v>
      </c>
      <c r="D15" s="4" t="s">
        <v>28</v>
      </c>
      <c r="E15" s="4" t="s">
        <v>44</v>
      </c>
      <c r="F15" s="4" t="s">
        <v>23</v>
      </c>
      <c r="G15" s="4" t="s">
        <v>29</v>
      </c>
      <c r="H15" s="4" t="s">
        <v>30</v>
      </c>
    </row>
    <row r="16" spans="1:15" x14ac:dyDescent="0.2">
      <c r="A16">
        <v>9</v>
      </c>
      <c r="B16" t="s">
        <v>42</v>
      </c>
      <c r="C16">
        <v>3</v>
      </c>
      <c r="D16" s="4" t="s">
        <v>33</v>
      </c>
      <c r="E16" s="4" t="s">
        <v>45</v>
      </c>
      <c r="F16" s="4" t="s">
        <v>23</v>
      </c>
      <c r="G16" s="4" t="s">
        <v>34</v>
      </c>
      <c r="H16" s="4" t="s">
        <v>25</v>
      </c>
    </row>
    <row r="17" spans="1:15" x14ac:dyDescent="0.2">
      <c r="A17">
        <v>10</v>
      </c>
      <c r="B17" t="s">
        <v>46</v>
      </c>
      <c r="C17">
        <v>1</v>
      </c>
      <c r="D17" s="4" t="s">
        <v>23</v>
      </c>
      <c r="E17" s="4" t="s">
        <v>47</v>
      </c>
      <c r="F17" s="4" t="s">
        <v>23</v>
      </c>
      <c r="G17" s="4" t="s">
        <v>24</v>
      </c>
      <c r="H17" s="4" t="s">
        <v>23</v>
      </c>
      <c r="I17" t="s">
        <v>26</v>
      </c>
      <c r="J17">
        <v>4</v>
      </c>
      <c r="K17">
        <v>4</v>
      </c>
      <c r="L17">
        <v>8.01</v>
      </c>
      <c r="M17">
        <v>8.01</v>
      </c>
      <c r="N17">
        <v>19.02</v>
      </c>
      <c r="O17">
        <v>21.02</v>
      </c>
    </row>
    <row r="18" spans="1:15" x14ac:dyDescent="0.2">
      <c r="A18">
        <v>11</v>
      </c>
      <c r="B18" t="s">
        <v>46</v>
      </c>
      <c r="C18">
        <v>2</v>
      </c>
      <c r="D18" s="4" t="s">
        <v>28</v>
      </c>
      <c r="E18" s="4" t="s">
        <v>48</v>
      </c>
      <c r="F18" s="4" t="s">
        <v>23</v>
      </c>
      <c r="G18" s="4" t="s">
        <v>29</v>
      </c>
      <c r="H18" s="4" t="s">
        <v>35</v>
      </c>
    </row>
    <row r="19" spans="1:15" x14ac:dyDescent="0.2">
      <c r="A19">
        <v>12</v>
      </c>
      <c r="B19" t="s">
        <v>46</v>
      </c>
      <c r="C19">
        <v>3</v>
      </c>
      <c r="D19" s="4" t="s">
        <v>33</v>
      </c>
      <c r="E19" s="4" t="s">
        <v>49</v>
      </c>
      <c r="F19" s="4" t="s">
        <v>23</v>
      </c>
      <c r="G19" s="4" t="s">
        <v>34</v>
      </c>
      <c r="H19" s="4" t="s">
        <v>35</v>
      </c>
    </row>
    <row r="20" spans="1:15" x14ac:dyDescent="0.2">
      <c r="A20">
        <v>13</v>
      </c>
      <c r="B20" t="s">
        <v>50</v>
      </c>
      <c r="C20">
        <v>1</v>
      </c>
      <c r="D20" s="4" t="s">
        <v>23</v>
      </c>
      <c r="E20" s="4" t="s">
        <v>51</v>
      </c>
      <c r="F20" s="4" t="s">
        <v>23</v>
      </c>
      <c r="G20" s="4" t="s">
        <v>24</v>
      </c>
      <c r="H20" s="4" t="s">
        <v>35</v>
      </c>
      <c r="I20" t="s">
        <v>26</v>
      </c>
      <c r="J20">
        <v>12</v>
      </c>
      <c r="K20">
        <v>12</v>
      </c>
      <c r="L20">
        <v>17.02</v>
      </c>
      <c r="M20">
        <v>17.02</v>
      </c>
      <c r="N20">
        <v>8.31</v>
      </c>
      <c r="O20">
        <v>11.31</v>
      </c>
    </row>
    <row r="21" spans="1:15" x14ac:dyDescent="0.2">
      <c r="A21">
        <v>14</v>
      </c>
      <c r="B21" t="s">
        <v>50</v>
      </c>
      <c r="C21">
        <v>2</v>
      </c>
      <c r="D21" s="4" t="s">
        <v>28</v>
      </c>
      <c r="E21" s="4" t="s">
        <v>52</v>
      </c>
      <c r="F21" s="4" t="s">
        <v>23</v>
      </c>
      <c r="G21" s="4" t="s">
        <v>29</v>
      </c>
      <c r="H21" s="4" t="s">
        <v>35</v>
      </c>
    </row>
    <row r="22" spans="1:15" x14ac:dyDescent="0.2">
      <c r="A22">
        <v>15</v>
      </c>
      <c r="B22" t="s">
        <v>50</v>
      </c>
      <c r="C22">
        <v>3</v>
      </c>
      <c r="D22" s="4" t="s">
        <v>33</v>
      </c>
      <c r="E22" s="4" t="s">
        <v>53</v>
      </c>
      <c r="F22" s="4" t="s">
        <v>23</v>
      </c>
      <c r="G22" s="4" t="s">
        <v>34</v>
      </c>
      <c r="H22" s="4" t="s">
        <v>35</v>
      </c>
    </row>
    <row r="23" spans="1:15" x14ac:dyDescent="0.2">
      <c r="A23">
        <v>16</v>
      </c>
      <c r="B23" t="s">
        <v>54</v>
      </c>
      <c r="C23">
        <v>1</v>
      </c>
      <c r="D23" s="4" t="s">
        <v>23</v>
      </c>
      <c r="E23" s="4" t="s">
        <v>23</v>
      </c>
      <c r="F23" s="4" t="s">
        <v>28</v>
      </c>
      <c r="G23" s="4" t="s">
        <v>55</v>
      </c>
      <c r="H23" s="4" t="s">
        <v>25</v>
      </c>
      <c r="I23" t="s">
        <v>26</v>
      </c>
      <c r="J23">
        <v>0</v>
      </c>
      <c r="K23">
        <v>0</v>
      </c>
      <c r="L23">
        <v>0</v>
      </c>
      <c r="M23">
        <v>0</v>
      </c>
      <c r="N23" t="s">
        <v>56</v>
      </c>
      <c r="O23" t="s">
        <v>56</v>
      </c>
    </row>
    <row r="24" spans="1:15" x14ac:dyDescent="0.2">
      <c r="A24">
        <v>17</v>
      </c>
      <c r="B24" t="s">
        <v>54</v>
      </c>
      <c r="C24">
        <v>2</v>
      </c>
      <c r="D24" s="4" t="s">
        <v>28</v>
      </c>
      <c r="E24" s="4" t="s">
        <v>28</v>
      </c>
      <c r="F24" s="4" t="s">
        <v>28</v>
      </c>
      <c r="G24" s="4" t="s">
        <v>58</v>
      </c>
      <c r="H24" s="4" t="s">
        <v>30</v>
      </c>
    </row>
    <row r="25" spans="1:15" x14ac:dyDescent="0.2">
      <c r="A25">
        <v>18</v>
      </c>
      <c r="B25" t="s">
        <v>59</v>
      </c>
      <c r="C25">
        <v>1</v>
      </c>
      <c r="D25" s="4" t="s">
        <v>23</v>
      </c>
      <c r="E25" s="4" t="s">
        <v>39</v>
      </c>
      <c r="F25" s="4" t="s">
        <v>28</v>
      </c>
      <c r="G25" s="4" t="s">
        <v>55</v>
      </c>
      <c r="H25" s="4" t="s">
        <v>30</v>
      </c>
      <c r="I25" t="s">
        <v>26</v>
      </c>
      <c r="J25">
        <v>5</v>
      </c>
      <c r="K25">
        <v>5</v>
      </c>
      <c r="L25">
        <v>10.34</v>
      </c>
      <c r="M25">
        <v>10.34</v>
      </c>
      <c r="N25">
        <v>22.52</v>
      </c>
      <c r="O25">
        <v>27.76</v>
      </c>
    </row>
    <row r="26" spans="1:15" x14ac:dyDescent="0.2">
      <c r="A26">
        <v>19</v>
      </c>
      <c r="B26" t="s">
        <v>59</v>
      </c>
      <c r="C26">
        <v>2</v>
      </c>
      <c r="D26" s="4" t="s">
        <v>28</v>
      </c>
      <c r="E26" s="4" t="s">
        <v>40</v>
      </c>
      <c r="F26" s="4" t="s">
        <v>28</v>
      </c>
      <c r="G26" s="4" t="s">
        <v>58</v>
      </c>
      <c r="H26" s="4" t="s">
        <v>25</v>
      </c>
    </row>
    <row r="27" spans="1:15" x14ac:dyDescent="0.2">
      <c r="A27">
        <v>20</v>
      </c>
      <c r="B27" t="s">
        <v>59</v>
      </c>
      <c r="C27">
        <v>3</v>
      </c>
      <c r="D27" s="4" t="s">
        <v>33</v>
      </c>
      <c r="E27" s="4" t="s">
        <v>41</v>
      </c>
      <c r="F27" s="4" t="s">
        <v>28</v>
      </c>
      <c r="G27" s="4" t="s">
        <v>60</v>
      </c>
      <c r="H27" s="4" t="s">
        <v>35</v>
      </c>
    </row>
    <row r="28" spans="1:15" x14ac:dyDescent="0.2">
      <c r="A28">
        <v>21</v>
      </c>
      <c r="B28" t="s">
        <v>61</v>
      </c>
      <c r="C28">
        <v>1</v>
      </c>
      <c r="D28" s="4" t="s">
        <v>23</v>
      </c>
      <c r="E28" s="4" t="s">
        <v>43</v>
      </c>
      <c r="F28" s="4" t="s">
        <v>28</v>
      </c>
      <c r="G28" s="4" t="s">
        <v>55</v>
      </c>
      <c r="H28" s="4" t="s">
        <v>25</v>
      </c>
      <c r="I28" t="s">
        <v>26</v>
      </c>
      <c r="J28">
        <v>6</v>
      </c>
      <c r="K28">
        <v>6</v>
      </c>
      <c r="L28">
        <v>12.08</v>
      </c>
      <c r="M28">
        <v>12.08</v>
      </c>
      <c r="N28">
        <v>10.71</v>
      </c>
      <c r="O28">
        <v>15.08</v>
      </c>
    </row>
    <row r="29" spans="1:15" x14ac:dyDescent="0.2">
      <c r="A29">
        <v>22</v>
      </c>
      <c r="B29" t="s">
        <v>61</v>
      </c>
      <c r="C29">
        <v>2</v>
      </c>
      <c r="D29" s="4" t="s">
        <v>28</v>
      </c>
      <c r="E29" s="4" t="s">
        <v>44</v>
      </c>
      <c r="F29" s="4" t="s">
        <v>28</v>
      </c>
      <c r="G29" s="4" t="s">
        <v>58</v>
      </c>
      <c r="H29" s="4" t="s">
        <v>30</v>
      </c>
    </row>
    <row r="30" spans="1:15" x14ac:dyDescent="0.2">
      <c r="A30">
        <v>23</v>
      </c>
      <c r="B30" t="s">
        <v>61</v>
      </c>
      <c r="C30">
        <v>3</v>
      </c>
      <c r="D30" s="4" t="s">
        <v>33</v>
      </c>
      <c r="E30" s="4" t="s">
        <v>45</v>
      </c>
      <c r="F30" s="4" t="s">
        <v>28</v>
      </c>
      <c r="G30" s="4" t="s">
        <v>60</v>
      </c>
      <c r="H30" s="4" t="s">
        <v>25</v>
      </c>
    </row>
    <row r="31" spans="1:15" x14ac:dyDescent="0.2">
      <c r="A31">
        <v>24</v>
      </c>
      <c r="B31" t="s">
        <v>62</v>
      </c>
      <c r="C31">
        <v>1</v>
      </c>
      <c r="D31" s="4" t="s">
        <v>23</v>
      </c>
      <c r="E31" s="4" t="s">
        <v>47</v>
      </c>
      <c r="F31" s="4" t="s">
        <v>28</v>
      </c>
      <c r="G31" s="4" t="s">
        <v>55</v>
      </c>
      <c r="H31" s="4" t="s">
        <v>23</v>
      </c>
      <c r="I31" t="s">
        <v>26</v>
      </c>
      <c r="J31">
        <v>14</v>
      </c>
      <c r="K31">
        <v>14</v>
      </c>
      <c r="L31">
        <v>21.09</v>
      </c>
      <c r="M31">
        <v>21.09</v>
      </c>
      <c r="N31">
        <v>3.74</v>
      </c>
      <c r="O31">
        <v>8.34</v>
      </c>
    </row>
    <row r="32" spans="1:15" x14ac:dyDescent="0.2">
      <c r="A32">
        <v>25</v>
      </c>
      <c r="B32" t="s">
        <v>62</v>
      </c>
      <c r="C32">
        <v>2</v>
      </c>
      <c r="D32" s="4" t="s">
        <v>28</v>
      </c>
      <c r="E32" s="4" t="s">
        <v>48</v>
      </c>
      <c r="F32" s="4" t="s">
        <v>28</v>
      </c>
      <c r="G32" s="4" t="s">
        <v>58</v>
      </c>
      <c r="H32" s="4" t="s">
        <v>35</v>
      </c>
    </row>
    <row r="33" spans="1:15" x14ac:dyDescent="0.2">
      <c r="A33">
        <v>26</v>
      </c>
      <c r="B33" t="s">
        <v>63</v>
      </c>
      <c r="C33">
        <v>1</v>
      </c>
      <c r="D33" s="4" t="s">
        <v>23</v>
      </c>
      <c r="E33" s="4" t="s">
        <v>51</v>
      </c>
      <c r="F33" s="4" t="s">
        <v>28</v>
      </c>
      <c r="G33" s="4" t="s">
        <v>55</v>
      </c>
      <c r="H33" s="4" t="s">
        <v>35</v>
      </c>
      <c r="I33" t="s">
        <v>26</v>
      </c>
      <c r="J33">
        <v>3</v>
      </c>
      <c r="K33">
        <v>3</v>
      </c>
      <c r="L33">
        <v>5.84</v>
      </c>
      <c r="M33">
        <v>5.84</v>
      </c>
      <c r="N33">
        <v>3.1</v>
      </c>
      <c r="O33">
        <v>9.08</v>
      </c>
    </row>
    <row r="34" spans="1:15" x14ac:dyDescent="0.2">
      <c r="A34">
        <v>27</v>
      </c>
      <c r="B34" t="s">
        <v>63</v>
      </c>
      <c r="C34">
        <v>2</v>
      </c>
      <c r="D34" s="4" t="s">
        <v>28</v>
      </c>
      <c r="E34" s="4" t="s">
        <v>52</v>
      </c>
      <c r="F34" s="4" t="s">
        <v>28</v>
      </c>
      <c r="G34" s="4" t="s">
        <v>58</v>
      </c>
      <c r="H34" s="4" t="s">
        <v>35</v>
      </c>
    </row>
    <row r="35" spans="1:15" x14ac:dyDescent="0.2">
      <c r="A35">
        <v>28</v>
      </c>
      <c r="B35" t="s">
        <v>63</v>
      </c>
      <c r="C35">
        <v>3</v>
      </c>
      <c r="D35" s="4" t="s">
        <v>33</v>
      </c>
      <c r="E35" s="4" t="s">
        <v>53</v>
      </c>
      <c r="F35" s="4" t="s">
        <v>28</v>
      </c>
      <c r="G35" s="4" t="s">
        <v>60</v>
      </c>
      <c r="H35" s="4" t="s">
        <v>35</v>
      </c>
    </row>
    <row r="36" spans="1:15" x14ac:dyDescent="0.2">
      <c r="I36" s="2" t="s">
        <v>64</v>
      </c>
      <c r="J36" s="1">
        <v>2.0699999999999998</v>
      </c>
      <c r="K36" s="1">
        <v>2.0699999999999998</v>
      </c>
      <c r="L36" s="1">
        <v>3.58</v>
      </c>
      <c r="M36" s="1">
        <v>3.58</v>
      </c>
    </row>
    <row r="37" spans="1:15" x14ac:dyDescent="0.2">
      <c r="A37">
        <v>1</v>
      </c>
      <c r="B37" t="s">
        <v>22</v>
      </c>
      <c r="C37">
        <v>1</v>
      </c>
      <c r="D37" s="4" t="s">
        <v>23</v>
      </c>
      <c r="E37" s="4" t="s">
        <v>23</v>
      </c>
      <c r="F37" s="4" t="s">
        <v>23</v>
      </c>
      <c r="G37" s="4" t="s">
        <v>24</v>
      </c>
      <c r="H37" s="4" t="s">
        <v>25</v>
      </c>
      <c r="I37" t="s">
        <v>27</v>
      </c>
      <c r="J37">
        <v>7</v>
      </c>
      <c r="K37">
        <v>7</v>
      </c>
      <c r="L37">
        <v>11.78</v>
      </c>
      <c r="M37">
        <v>11.78</v>
      </c>
      <c r="N37">
        <v>27.33</v>
      </c>
      <c r="O37">
        <v>34.93</v>
      </c>
    </row>
    <row r="38" spans="1:15" x14ac:dyDescent="0.2">
      <c r="A38">
        <v>2</v>
      </c>
      <c r="B38" t="s">
        <v>22</v>
      </c>
      <c r="C38">
        <v>2</v>
      </c>
      <c r="D38" s="4" t="s">
        <v>28</v>
      </c>
      <c r="E38" s="4" t="s">
        <v>28</v>
      </c>
      <c r="F38" s="4" t="s">
        <v>23</v>
      </c>
      <c r="G38" s="4" t="s">
        <v>29</v>
      </c>
      <c r="H38" s="4" t="s">
        <v>30</v>
      </c>
    </row>
    <row r="39" spans="1:15" x14ac:dyDescent="0.2">
      <c r="A39">
        <v>3</v>
      </c>
      <c r="B39" t="s">
        <v>22</v>
      </c>
      <c r="C39">
        <v>3</v>
      </c>
      <c r="D39" s="4" t="s">
        <v>33</v>
      </c>
      <c r="E39" s="4" t="s">
        <v>33</v>
      </c>
      <c r="F39" s="4" t="s">
        <v>23</v>
      </c>
      <c r="G39" s="4" t="s">
        <v>34</v>
      </c>
      <c r="H39" s="4" t="s">
        <v>35</v>
      </c>
    </row>
    <row r="40" spans="1:15" x14ac:dyDescent="0.2">
      <c r="A40">
        <v>4</v>
      </c>
      <c r="B40" t="s">
        <v>38</v>
      </c>
      <c r="C40">
        <v>1</v>
      </c>
      <c r="D40" s="4" t="s">
        <v>23</v>
      </c>
      <c r="E40" s="4" t="s">
        <v>39</v>
      </c>
      <c r="F40" s="4" t="s">
        <v>23</v>
      </c>
      <c r="G40" s="4" t="s">
        <v>24</v>
      </c>
      <c r="H40" s="4" t="s">
        <v>30</v>
      </c>
      <c r="I40" t="s">
        <v>27</v>
      </c>
      <c r="J40">
        <v>7</v>
      </c>
      <c r="K40">
        <v>7</v>
      </c>
      <c r="L40">
        <v>10.28</v>
      </c>
      <c r="M40">
        <v>10.28</v>
      </c>
      <c r="N40">
        <v>2.34</v>
      </c>
      <c r="O40">
        <v>6.11</v>
      </c>
    </row>
    <row r="41" spans="1:15" x14ac:dyDescent="0.2">
      <c r="A41">
        <v>5</v>
      </c>
      <c r="B41" t="s">
        <v>38</v>
      </c>
      <c r="C41">
        <v>2</v>
      </c>
      <c r="D41" s="4" t="s">
        <v>28</v>
      </c>
      <c r="E41" s="4" t="s">
        <v>40</v>
      </c>
      <c r="F41" s="4" t="s">
        <v>23</v>
      </c>
      <c r="G41" s="4" t="s">
        <v>29</v>
      </c>
      <c r="H41" s="4" t="s">
        <v>25</v>
      </c>
    </row>
    <row r="42" spans="1:15" x14ac:dyDescent="0.2">
      <c r="A42">
        <v>6</v>
      </c>
      <c r="B42" t="s">
        <v>38</v>
      </c>
      <c r="C42">
        <v>3</v>
      </c>
      <c r="D42" s="4" t="s">
        <v>33</v>
      </c>
      <c r="E42" s="4" t="s">
        <v>41</v>
      </c>
      <c r="F42" s="4" t="s">
        <v>23</v>
      </c>
      <c r="G42" s="4" t="s">
        <v>34</v>
      </c>
      <c r="H42" s="4" t="s">
        <v>35</v>
      </c>
    </row>
    <row r="43" spans="1:15" x14ac:dyDescent="0.2">
      <c r="A43">
        <v>7</v>
      </c>
      <c r="B43" t="s">
        <v>42</v>
      </c>
      <c r="C43">
        <v>1</v>
      </c>
      <c r="D43" s="4" t="s">
        <v>23</v>
      </c>
      <c r="E43" s="4" t="s">
        <v>43</v>
      </c>
      <c r="F43" s="4" t="s">
        <v>23</v>
      </c>
      <c r="G43" s="4" t="s">
        <v>24</v>
      </c>
      <c r="H43" s="4" t="s">
        <v>25</v>
      </c>
      <c r="I43" t="s">
        <v>27</v>
      </c>
      <c r="J43">
        <v>1</v>
      </c>
      <c r="K43">
        <v>1</v>
      </c>
      <c r="L43">
        <v>5.21</v>
      </c>
      <c r="M43">
        <v>5.21</v>
      </c>
      <c r="N43">
        <v>57.26</v>
      </c>
      <c r="O43">
        <v>62.56</v>
      </c>
    </row>
    <row r="44" spans="1:15" x14ac:dyDescent="0.2">
      <c r="A44">
        <v>8</v>
      </c>
      <c r="B44" t="s">
        <v>42</v>
      </c>
      <c r="C44">
        <v>2</v>
      </c>
      <c r="D44" s="4" t="s">
        <v>28</v>
      </c>
      <c r="E44" s="4" t="s">
        <v>44</v>
      </c>
      <c r="F44" s="4" t="s">
        <v>23</v>
      </c>
      <c r="G44" s="4" t="s">
        <v>29</v>
      </c>
      <c r="H44" s="4" t="s">
        <v>30</v>
      </c>
    </row>
    <row r="45" spans="1:15" x14ac:dyDescent="0.2">
      <c r="A45">
        <v>9</v>
      </c>
      <c r="B45" t="s">
        <v>42</v>
      </c>
      <c r="C45">
        <v>3</v>
      </c>
      <c r="D45" s="4" t="s">
        <v>33</v>
      </c>
      <c r="E45" s="4" t="s">
        <v>45</v>
      </c>
      <c r="F45" s="4" t="s">
        <v>23</v>
      </c>
      <c r="G45" s="4" t="s">
        <v>34</v>
      </c>
      <c r="H45" s="4" t="s">
        <v>25</v>
      </c>
    </row>
    <row r="46" spans="1:15" x14ac:dyDescent="0.2">
      <c r="A46">
        <v>10</v>
      </c>
      <c r="B46" t="s">
        <v>46</v>
      </c>
      <c r="C46">
        <v>1</v>
      </c>
      <c r="D46" s="4" t="s">
        <v>23</v>
      </c>
      <c r="E46" s="4" t="s">
        <v>47</v>
      </c>
      <c r="F46" s="4" t="s">
        <v>23</v>
      </c>
      <c r="G46" s="4" t="s">
        <v>24</v>
      </c>
      <c r="H46" s="4" t="s">
        <v>23</v>
      </c>
      <c r="I46" t="s">
        <v>27</v>
      </c>
      <c r="J46">
        <v>7</v>
      </c>
      <c r="K46">
        <v>7</v>
      </c>
      <c r="L46">
        <v>10.44</v>
      </c>
      <c r="M46">
        <v>10.44</v>
      </c>
      <c r="N46">
        <v>30.3</v>
      </c>
      <c r="O46">
        <v>31.66</v>
      </c>
    </row>
    <row r="47" spans="1:15" x14ac:dyDescent="0.2">
      <c r="A47">
        <v>11</v>
      </c>
      <c r="B47" t="s">
        <v>46</v>
      </c>
      <c r="C47">
        <v>2</v>
      </c>
      <c r="D47" s="4" t="s">
        <v>28</v>
      </c>
      <c r="E47" s="4" t="s">
        <v>48</v>
      </c>
      <c r="F47" s="4" t="s">
        <v>23</v>
      </c>
      <c r="G47" s="4" t="s">
        <v>29</v>
      </c>
      <c r="H47" s="4" t="s">
        <v>35</v>
      </c>
    </row>
    <row r="48" spans="1:15" x14ac:dyDescent="0.2">
      <c r="A48">
        <v>12</v>
      </c>
      <c r="B48" t="s">
        <v>46</v>
      </c>
      <c r="C48">
        <v>3</v>
      </c>
      <c r="D48" s="4" t="s">
        <v>33</v>
      </c>
      <c r="E48" s="4" t="s">
        <v>49</v>
      </c>
      <c r="F48" s="4" t="s">
        <v>23</v>
      </c>
      <c r="G48" s="4" t="s">
        <v>34</v>
      </c>
      <c r="H48" s="4" t="s">
        <v>35</v>
      </c>
    </row>
    <row r="49" spans="1:15" x14ac:dyDescent="0.2">
      <c r="A49">
        <v>13</v>
      </c>
      <c r="B49" t="s">
        <v>50</v>
      </c>
      <c r="C49">
        <v>1</v>
      </c>
      <c r="D49" s="4" t="s">
        <v>23</v>
      </c>
      <c r="E49" s="4" t="s">
        <v>51</v>
      </c>
      <c r="F49" s="4" t="s">
        <v>23</v>
      </c>
      <c r="G49" s="4" t="s">
        <v>24</v>
      </c>
      <c r="H49" s="4" t="s">
        <v>35</v>
      </c>
      <c r="I49" t="s">
        <v>27</v>
      </c>
      <c r="J49">
        <v>19</v>
      </c>
      <c r="K49">
        <v>19</v>
      </c>
      <c r="L49">
        <v>19.190000000000001</v>
      </c>
      <c r="M49">
        <v>19.190000000000001</v>
      </c>
      <c r="N49">
        <v>23.16</v>
      </c>
      <c r="O49">
        <v>25.13</v>
      </c>
    </row>
    <row r="50" spans="1:15" x14ac:dyDescent="0.2">
      <c r="A50">
        <v>14</v>
      </c>
      <c r="B50" t="s">
        <v>50</v>
      </c>
      <c r="C50">
        <v>2</v>
      </c>
      <c r="D50" s="4" t="s">
        <v>28</v>
      </c>
      <c r="E50" s="4" t="s">
        <v>52</v>
      </c>
      <c r="F50" s="4" t="s">
        <v>23</v>
      </c>
      <c r="G50" s="4" t="s">
        <v>29</v>
      </c>
      <c r="H50" s="4" t="s">
        <v>35</v>
      </c>
    </row>
    <row r="51" spans="1:15" x14ac:dyDescent="0.2">
      <c r="A51">
        <v>15</v>
      </c>
      <c r="B51" t="s">
        <v>50</v>
      </c>
      <c r="C51">
        <v>3</v>
      </c>
      <c r="D51" s="4" t="s">
        <v>33</v>
      </c>
      <c r="E51" s="4" t="s">
        <v>53</v>
      </c>
      <c r="F51" s="4" t="s">
        <v>23</v>
      </c>
      <c r="G51" s="4" t="s">
        <v>34</v>
      </c>
      <c r="H51" s="4" t="s">
        <v>35</v>
      </c>
    </row>
    <row r="52" spans="1:15" x14ac:dyDescent="0.2">
      <c r="A52">
        <v>16</v>
      </c>
      <c r="B52" t="s">
        <v>54</v>
      </c>
      <c r="C52">
        <v>1</v>
      </c>
      <c r="D52" s="4" t="s">
        <v>23</v>
      </c>
      <c r="E52" s="4" t="s">
        <v>23</v>
      </c>
      <c r="F52" s="4" t="s">
        <v>28</v>
      </c>
      <c r="G52" s="4" t="s">
        <v>55</v>
      </c>
      <c r="H52" s="4" t="s">
        <v>25</v>
      </c>
    </row>
    <row r="53" spans="1:15" x14ac:dyDescent="0.2">
      <c r="A53">
        <v>17</v>
      </c>
      <c r="B53" t="s">
        <v>54</v>
      </c>
      <c r="C53">
        <v>2</v>
      </c>
      <c r="D53" s="4" t="s">
        <v>28</v>
      </c>
      <c r="E53" s="4" t="s">
        <v>28</v>
      </c>
      <c r="F53" s="4" t="s">
        <v>28</v>
      </c>
      <c r="G53" s="4" t="s">
        <v>58</v>
      </c>
      <c r="H53" s="4" t="s">
        <v>30</v>
      </c>
    </row>
    <row r="54" spans="1:15" x14ac:dyDescent="0.2">
      <c r="A54">
        <v>18</v>
      </c>
      <c r="B54" t="s">
        <v>59</v>
      </c>
      <c r="C54">
        <v>1</v>
      </c>
      <c r="D54" s="4" t="s">
        <v>23</v>
      </c>
      <c r="E54" s="4" t="s">
        <v>39</v>
      </c>
      <c r="F54" s="4" t="s">
        <v>28</v>
      </c>
      <c r="G54" s="4" t="s">
        <v>55</v>
      </c>
      <c r="H54" s="4" t="s">
        <v>30</v>
      </c>
    </row>
    <row r="55" spans="1:15" x14ac:dyDescent="0.2">
      <c r="A55">
        <v>19</v>
      </c>
      <c r="B55" t="s">
        <v>59</v>
      </c>
      <c r="C55">
        <v>2</v>
      </c>
      <c r="D55" s="4" t="s">
        <v>28</v>
      </c>
      <c r="E55" s="4" t="s">
        <v>40</v>
      </c>
      <c r="F55" s="4" t="s">
        <v>28</v>
      </c>
      <c r="G55" s="4" t="s">
        <v>58</v>
      </c>
      <c r="H55" s="4" t="s">
        <v>25</v>
      </c>
    </row>
    <row r="56" spans="1:15" x14ac:dyDescent="0.2">
      <c r="A56">
        <v>20</v>
      </c>
      <c r="B56" t="s">
        <v>59</v>
      </c>
      <c r="C56">
        <v>3</v>
      </c>
      <c r="D56" s="4" t="s">
        <v>33</v>
      </c>
      <c r="E56" s="4" t="s">
        <v>41</v>
      </c>
      <c r="F56" s="4" t="s">
        <v>28</v>
      </c>
      <c r="G56" s="4" t="s">
        <v>60</v>
      </c>
      <c r="H56" s="4" t="s">
        <v>35</v>
      </c>
    </row>
    <row r="57" spans="1:15" x14ac:dyDescent="0.2">
      <c r="A57">
        <v>21</v>
      </c>
      <c r="B57" t="s">
        <v>61</v>
      </c>
      <c r="C57">
        <v>1</v>
      </c>
      <c r="D57" s="4" t="s">
        <v>23</v>
      </c>
      <c r="E57" s="4" t="s">
        <v>43</v>
      </c>
      <c r="F57" s="4" t="s">
        <v>28</v>
      </c>
      <c r="G57" s="4" t="s">
        <v>55</v>
      </c>
      <c r="H57" s="4" t="s">
        <v>25</v>
      </c>
    </row>
    <row r="58" spans="1:15" x14ac:dyDescent="0.2">
      <c r="A58">
        <v>22</v>
      </c>
      <c r="B58" t="s">
        <v>61</v>
      </c>
      <c r="C58">
        <v>2</v>
      </c>
      <c r="D58" s="4" t="s">
        <v>28</v>
      </c>
      <c r="E58" s="4" t="s">
        <v>44</v>
      </c>
      <c r="F58" s="4" t="s">
        <v>28</v>
      </c>
      <c r="G58" s="4" t="s">
        <v>58</v>
      </c>
      <c r="H58" s="4" t="s">
        <v>30</v>
      </c>
    </row>
    <row r="59" spans="1:15" x14ac:dyDescent="0.2">
      <c r="A59">
        <v>23</v>
      </c>
      <c r="B59" t="s">
        <v>61</v>
      </c>
      <c r="C59">
        <v>3</v>
      </c>
      <c r="D59" s="4" t="s">
        <v>33</v>
      </c>
      <c r="E59" s="4" t="s">
        <v>45</v>
      </c>
      <c r="F59" s="4" t="s">
        <v>28</v>
      </c>
      <c r="G59" s="4" t="s">
        <v>60</v>
      </c>
      <c r="H59" s="4" t="s">
        <v>25</v>
      </c>
    </row>
    <row r="60" spans="1:15" x14ac:dyDescent="0.2">
      <c r="A60">
        <v>24</v>
      </c>
      <c r="B60" t="s">
        <v>62</v>
      </c>
      <c r="C60">
        <v>1</v>
      </c>
      <c r="D60" s="4" t="s">
        <v>23</v>
      </c>
      <c r="E60" s="4" t="s">
        <v>47</v>
      </c>
      <c r="F60" s="4" t="s">
        <v>28</v>
      </c>
      <c r="G60" s="4" t="s">
        <v>55</v>
      </c>
      <c r="H60" s="4" t="s">
        <v>23</v>
      </c>
    </row>
    <row r="61" spans="1:15" x14ac:dyDescent="0.2">
      <c r="A61">
        <v>25</v>
      </c>
      <c r="B61" t="s">
        <v>62</v>
      </c>
      <c r="C61">
        <v>2</v>
      </c>
      <c r="D61" s="4" t="s">
        <v>28</v>
      </c>
      <c r="E61" s="4" t="s">
        <v>48</v>
      </c>
      <c r="F61" s="4" t="s">
        <v>28</v>
      </c>
      <c r="G61" s="4" t="s">
        <v>58</v>
      </c>
      <c r="H61" s="4" t="s">
        <v>35</v>
      </c>
    </row>
    <row r="62" spans="1:15" x14ac:dyDescent="0.2">
      <c r="A62">
        <v>26</v>
      </c>
      <c r="B62" t="s">
        <v>63</v>
      </c>
      <c r="C62">
        <v>1</v>
      </c>
      <c r="D62" s="4" t="s">
        <v>23</v>
      </c>
      <c r="E62" s="4" t="s">
        <v>51</v>
      </c>
      <c r="F62" s="4" t="s">
        <v>28</v>
      </c>
      <c r="G62" s="4" t="s">
        <v>55</v>
      </c>
      <c r="H62" s="4" t="s">
        <v>35</v>
      </c>
    </row>
    <row r="63" spans="1:15" x14ac:dyDescent="0.2">
      <c r="A63">
        <v>27</v>
      </c>
      <c r="B63" t="s">
        <v>63</v>
      </c>
      <c r="C63">
        <v>2</v>
      </c>
      <c r="D63" s="4" t="s">
        <v>28</v>
      </c>
      <c r="E63" s="4" t="s">
        <v>52</v>
      </c>
      <c r="F63" s="4" t="s">
        <v>28</v>
      </c>
      <c r="G63" s="4" t="s">
        <v>58</v>
      </c>
      <c r="H63" s="4" t="s">
        <v>35</v>
      </c>
    </row>
    <row r="64" spans="1:15" x14ac:dyDescent="0.2">
      <c r="A64">
        <v>28</v>
      </c>
      <c r="B64" t="s">
        <v>63</v>
      </c>
      <c r="C64">
        <v>3</v>
      </c>
      <c r="D64" s="4" t="s">
        <v>33</v>
      </c>
      <c r="E64" s="4" t="s">
        <v>53</v>
      </c>
      <c r="F64" s="4" t="s">
        <v>28</v>
      </c>
      <c r="G64" s="4" t="s">
        <v>60</v>
      </c>
      <c r="H64" s="4" t="s">
        <v>35</v>
      </c>
    </row>
    <row r="65" spans="1:15" x14ac:dyDescent="0.2">
      <c r="I65" s="2" t="s">
        <v>65</v>
      </c>
      <c r="J65" s="1">
        <v>1.46</v>
      </c>
      <c r="K65" s="1">
        <v>1.46</v>
      </c>
      <c r="L65" s="1">
        <v>2.0299999999999998</v>
      </c>
      <c r="M65" s="1">
        <v>2.0299999999999998</v>
      </c>
    </row>
    <row r="66" spans="1:15" x14ac:dyDescent="0.2">
      <c r="A66">
        <v>1</v>
      </c>
      <c r="B66" t="s">
        <v>22</v>
      </c>
      <c r="C66">
        <v>1</v>
      </c>
      <c r="D66" s="4" t="s">
        <v>23</v>
      </c>
      <c r="E66" s="4" t="s">
        <v>23</v>
      </c>
      <c r="F66" s="4" t="s">
        <v>23</v>
      </c>
      <c r="G66" s="4" t="s">
        <v>24</v>
      </c>
      <c r="H66" s="4" t="s">
        <v>25</v>
      </c>
    </row>
    <row r="67" spans="1:15" x14ac:dyDescent="0.2">
      <c r="A67">
        <v>2</v>
      </c>
      <c r="B67" t="s">
        <v>22</v>
      </c>
      <c r="C67">
        <v>2</v>
      </c>
      <c r="D67" s="4" t="s">
        <v>28</v>
      </c>
      <c r="E67" s="4" t="s">
        <v>28</v>
      </c>
      <c r="F67" s="4" t="s">
        <v>23</v>
      </c>
      <c r="G67" s="4" t="s">
        <v>29</v>
      </c>
      <c r="H67" s="4" t="s">
        <v>30</v>
      </c>
      <c r="I67" t="s">
        <v>31</v>
      </c>
      <c r="J67">
        <v>4</v>
      </c>
      <c r="K67">
        <v>4</v>
      </c>
      <c r="L67">
        <v>11.54</v>
      </c>
      <c r="M67">
        <v>11.54</v>
      </c>
      <c r="N67">
        <v>19.690000000000001</v>
      </c>
      <c r="O67">
        <v>26.03</v>
      </c>
    </row>
    <row r="68" spans="1:15" x14ac:dyDescent="0.2">
      <c r="A68">
        <v>3</v>
      </c>
      <c r="B68" t="s">
        <v>22</v>
      </c>
      <c r="C68">
        <v>3</v>
      </c>
      <c r="D68" s="4" t="s">
        <v>33</v>
      </c>
      <c r="E68" s="4" t="s">
        <v>33</v>
      </c>
      <c r="F68" s="4" t="s">
        <v>23</v>
      </c>
      <c r="G68" s="4" t="s">
        <v>34</v>
      </c>
      <c r="H68" s="4" t="s">
        <v>35</v>
      </c>
    </row>
    <row r="69" spans="1:15" x14ac:dyDescent="0.2">
      <c r="A69">
        <v>4</v>
      </c>
      <c r="B69" t="s">
        <v>38</v>
      </c>
      <c r="C69">
        <v>1</v>
      </c>
      <c r="D69" s="4" t="s">
        <v>23</v>
      </c>
      <c r="E69" s="4" t="s">
        <v>39</v>
      </c>
      <c r="F69" s="4" t="s">
        <v>23</v>
      </c>
      <c r="G69" s="4" t="s">
        <v>24</v>
      </c>
      <c r="H69" s="4" t="s">
        <v>30</v>
      </c>
    </row>
    <row r="70" spans="1:15" x14ac:dyDescent="0.2">
      <c r="A70">
        <v>5</v>
      </c>
      <c r="B70" t="s">
        <v>38</v>
      </c>
      <c r="C70">
        <v>2</v>
      </c>
      <c r="D70" s="4" t="s">
        <v>28</v>
      </c>
      <c r="E70" s="4" t="s">
        <v>40</v>
      </c>
      <c r="F70" s="4" t="s">
        <v>23</v>
      </c>
      <c r="G70" s="4" t="s">
        <v>29</v>
      </c>
      <c r="H70" s="4" t="s">
        <v>25</v>
      </c>
      <c r="I70" t="s">
        <v>31</v>
      </c>
      <c r="J70">
        <v>4</v>
      </c>
      <c r="K70">
        <v>4</v>
      </c>
      <c r="L70">
        <v>9.48</v>
      </c>
      <c r="M70">
        <v>9.48</v>
      </c>
      <c r="N70">
        <v>13.95</v>
      </c>
      <c r="O70">
        <v>17.68</v>
      </c>
    </row>
    <row r="71" spans="1:15" x14ac:dyDescent="0.2">
      <c r="A71">
        <v>6</v>
      </c>
      <c r="B71" t="s">
        <v>38</v>
      </c>
      <c r="C71">
        <v>3</v>
      </c>
      <c r="D71" s="4" t="s">
        <v>33</v>
      </c>
      <c r="E71" s="4" t="s">
        <v>41</v>
      </c>
      <c r="F71" s="4" t="s">
        <v>23</v>
      </c>
      <c r="G71" s="4" t="s">
        <v>34</v>
      </c>
      <c r="H71" s="4" t="s">
        <v>35</v>
      </c>
    </row>
    <row r="72" spans="1:15" x14ac:dyDescent="0.2">
      <c r="A72">
        <v>7</v>
      </c>
      <c r="B72" t="s">
        <v>42</v>
      </c>
      <c r="C72">
        <v>1</v>
      </c>
      <c r="D72" s="4" t="s">
        <v>23</v>
      </c>
      <c r="E72" s="4" t="s">
        <v>43</v>
      </c>
      <c r="F72" s="4" t="s">
        <v>23</v>
      </c>
      <c r="G72" s="4" t="s">
        <v>24</v>
      </c>
      <c r="H72" s="4" t="s">
        <v>25</v>
      </c>
    </row>
    <row r="73" spans="1:15" x14ac:dyDescent="0.2">
      <c r="A73">
        <v>8</v>
      </c>
      <c r="B73" t="s">
        <v>42</v>
      </c>
      <c r="C73">
        <v>2</v>
      </c>
      <c r="D73" s="4" t="s">
        <v>28</v>
      </c>
      <c r="E73" s="4" t="s">
        <v>44</v>
      </c>
      <c r="F73" s="4" t="s">
        <v>23</v>
      </c>
      <c r="G73" s="4" t="s">
        <v>29</v>
      </c>
      <c r="H73" s="4" t="s">
        <v>30</v>
      </c>
      <c r="I73" t="s">
        <v>31</v>
      </c>
      <c r="J73">
        <v>5</v>
      </c>
      <c r="K73">
        <v>5</v>
      </c>
      <c r="L73">
        <v>12.08</v>
      </c>
      <c r="M73">
        <v>12.08</v>
      </c>
      <c r="N73">
        <v>6.51</v>
      </c>
      <c r="O73">
        <v>11.11</v>
      </c>
    </row>
    <row r="74" spans="1:15" x14ac:dyDescent="0.2">
      <c r="A74">
        <v>9</v>
      </c>
      <c r="B74" t="s">
        <v>42</v>
      </c>
      <c r="C74">
        <v>3</v>
      </c>
      <c r="D74" s="4" t="s">
        <v>33</v>
      </c>
      <c r="E74" s="4" t="s">
        <v>45</v>
      </c>
      <c r="F74" s="4" t="s">
        <v>23</v>
      </c>
      <c r="G74" s="4" t="s">
        <v>34</v>
      </c>
      <c r="H74" s="4" t="s">
        <v>25</v>
      </c>
    </row>
    <row r="75" spans="1:15" x14ac:dyDescent="0.2">
      <c r="A75">
        <v>10</v>
      </c>
      <c r="B75" t="s">
        <v>46</v>
      </c>
      <c r="C75">
        <v>1</v>
      </c>
      <c r="D75" s="4" t="s">
        <v>23</v>
      </c>
      <c r="E75" s="4" t="s">
        <v>47</v>
      </c>
      <c r="F75" s="4" t="s">
        <v>23</v>
      </c>
      <c r="G75" s="4" t="s">
        <v>24</v>
      </c>
      <c r="H75" s="4" t="s">
        <v>23</v>
      </c>
    </row>
    <row r="76" spans="1:15" x14ac:dyDescent="0.2">
      <c r="A76">
        <v>11</v>
      </c>
      <c r="B76" t="s">
        <v>46</v>
      </c>
      <c r="C76">
        <v>2</v>
      </c>
      <c r="D76" s="4" t="s">
        <v>28</v>
      </c>
      <c r="E76" s="4" t="s">
        <v>48</v>
      </c>
      <c r="F76" s="4" t="s">
        <v>23</v>
      </c>
      <c r="G76" s="4" t="s">
        <v>29</v>
      </c>
      <c r="H76" s="4" t="s">
        <v>35</v>
      </c>
      <c r="I76" t="s">
        <v>31</v>
      </c>
      <c r="J76">
        <v>17</v>
      </c>
      <c r="K76">
        <v>17</v>
      </c>
      <c r="L76">
        <v>24.22</v>
      </c>
      <c r="M76">
        <v>24.22</v>
      </c>
      <c r="N76">
        <v>32.1</v>
      </c>
      <c r="O76">
        <v>32.43</v>
      </c>
    </row>
    <row r="77" spans="1:15" x14ac:dyDescent="0.2">
      <c r="A77">
        <v>12</v>
      </c>
      <c r="B77" t="s">
        <v>46</v>
      </c>
      <c r="C77">
        <v>3</v>
      </c>
      <c r="D77" s="4" t="s">
        <v>33</v>
      </c>
      <c r="E77" s="4" t="s">
        <v>49</v>
      </c>
      <c r="F77" s="4" t="s">
        <v>23</v>
      </c>
      <c r="G77" s="4" t="s">
        <v>34</v>
      </c>
      <c r="H77" s="4" t="s">
        <v>35</v>
      </c>
    </row>
    <row r="78" spans="1:15" x14ac:dyDescent="0.2">
      <c r="A78">
        <v>13</v>
      </c>
      <c r="B78" t="s">
        <v>50</v>
      </c>
      <c r="C78">
        <v>1</v>
      </c>
      <c r="D78" s="4" t="s">
        <v>23</v>
      </c>
      <c r="E78" s="4" t="s">
        <v>51</v>
      </c>
      <c r="F78" s="4" t="s">
        <v>23</v>
      </c>
      <c r="G78" s="4" t="s">
        <v>24</v>
      </c>
      <c r="H78" s="4" t="s">
        <v>35</v>
      </c>
    </row>
    <row r="79" spans="1:15" x14ac:dyDescent="0.2">
      <c r="A79">
        <v>14</v>
      </c>
      <c r="B79" t="s">
        <v>50</v>
      </c>
      <c r="C79">
        <v>2</v>
      </c>
      <c r="D79" s="4" t="s">
        <v>28</v>
      </c>
      <c r="E79" s="4" t="s">
        <v>52</v>
      </c>
      <c r="F79" s="4" t="s">
        <v>23</v>
      </c>
      <c r="G79" s="4" t="s">
        <v>29</v>
      </c>
      <c r="H79" s="4" t="s">
        <v>35</v>
      </c>
      <c r="I79" t="s">
        <v>31</v>
      </c>
      <c r="J79">
        <v>20</v>
      </c>
      <c r="K79">
        <v>20</v>
      </c>
      <c r="L79">
        <v>24.76</v>
      </c>
      <c r="M79">
        <v>24.76</v>
      </c>
      <c r="N79">
        <v>12.71</v>
      </c>
      <c r="O79">
        <v>14.08</v>
      </c>
    </row>
    <row r="80" spans="1:15" x14ac:dyDescent="0.2">
      <c r="A80">
        <v>15</v>
      </c>
      <c r="B80" t="s">
        <v>50</v>
      </c>
      <c r="C80">
        <v>3</v>
      </c>
      <c r="D80" s="4" t="s">
        <v>33</v>
      </c>
      <c r="E80" s="4" t="s">
        <v>53</v>
      </c>
      <c r="F80" s="4" t="s">
        <v>23</v>
      </c>
      <c r="G80" s="4" t="s">
        <v>34</v>
      </c>
      <c r="H80" s="4" t="s">
        <v>35</v>
      </c>
    </row>
    <row r="81" spans="1:15" x14ac:dyDescent="0.2">
      <c r="A81">
        <v>16</v>
      </c>
      <c r="B81" t="s">
        <v>54</v>
      </c>
      <c r="C81">
        <v>1</v>
      </c>
      <c r="D81" s="4" t="s">
        <v>23</v>
      </c>
      <c r="E81" s="4" t="s">
        <v>23</v>
      </c>
      <c r="F81" s="4" t="s">
        <v>28</v>
      </c>
      <c r="G81" s="4" t="s">
        <v>55</v>
      </c>
      <c r="H81" s="4" t="s">
        <v>25</v>
      </c>
    </row>
    <row r="82" spans="1:15" x14ac:dyDescent="0.2">
      <c r="A82">
        <v>17</v>
      </c>
      <c r="B82" t="s">
        <v>54</v>
      </c>
      <c r="C82">
        <v>2</v>
      </c>
      <c r="D82" s="4" t="s">
        <v>28</v>
      </c>
      <c r="E82" s="4" t="s">
        <v>28</v>
      </c>
      <c r="F82" s="4" t="s">
        <v>28</v>
      </c>
      <c r="G82" s="4" t="s">
        <v>58</v>
      </c>
      <c r="H82" s="4" t="s">
        <v>30</v>
      </c>
      <c r="I82" t="s">
        <v>31</v>
      </c>
      <c r="J82">
        <v>7</v>
      </c>
      <c r="K82">
        <v>7</v>
      </c>
      <c r="L82">
        <v>14.71</v>
      </c>
      <c r="M82">
        <v>14.71</v>
      </c>
      <c r="N82">
        <v>20.59</v>
      </c>
      <c r="O82">
        <v>28.13</v>
      </c>
    </row>
    <row r="83" spans="1:15" x14ac:dyDescent="0.2">
      <c r="A83">
        <v>18</v>
      </c>
      <c r="B83" t="s">
        <v>59</v>
      </c>
      <c r="C83">
        <v>1</v>
      </c>
      <c r="D83" s="4" t="s">
        <v>23</v>
      </c>
      <c r="E83" s="4" t="s">
        <v>39</v>
      </c>
      <c r="F83" s="4" t="s">
        <v>28</v>
      </c>
      <c r="G83" s="4" t="s">
        <v>55</v>
      </c>
      <c r="H83" s="4" t="s">
        <v>30</v>
      </c>
    </row>
    <row r="84" spans="1:15" x14ac:dyDescent="0.2">
      <c r="A84">
        <v>19</v>
      </c>
      <c r="B84" t="s">
        <v>59</v>
      </c>
      <c r="C84">
        <v>2</v>
      </c>
      <c r="D84" s="4" t="s">
        <v>28</v>
      </c>
      <c r="E84" s="4" t="s">
        <v>40</v>
      </c>
      <c r="F84" s="4" t="s">
        <v>28</v>
      </c>
      <c r="G84" s="4" t="s">
        <v>58</v>
      </c>
      <c r="H84" s="4" t="s">
        <v>25</v>
      </c>
      <c r="I84" t="s">
        <v>31</v>
      </c>
      <c r="J84">
        <v>9</v>
      </c>
      <c r="K84">
        <v>9</v>
      </c>
      <c r="L84">
        <v>8.14</v>
      </c>
      <c r="M84">
        <v>8.14</v>
      </c>
      <c r="N84">
        <v>48.48</v>
      </c>
      <c r="O84">
        <v>52.79</v>
      </c>
    </row>
    <row r="85" spans="1:15" x14ac:dyDescent="0.2">
      <c r="A85">
        <v>20</v>
      </c>
      <c r="B85" t="s">
        <v>59</v>
      </c>
      <c r="C85">
        <v>3</v>
      </c>
      <c r="D85" s="4" t="s">
        <v>33</v>
      </c>
      <c r="E85" s="4" t="s">
        <v>41</v>
      </c>
      <c r="F85" s="4" t="s">
        <v>28</v>
      </c>
      <c r="G85" s="4" t="s">
        <v>60</v>
      </c>
      <c r="H85" s="4" t="s">
        <v>35</v>
      </c>
    </row>
    <row r="86" spans="1:15" x14ac:dyDescent="0.2">
      <c r="A86">
        <v>21</v>
      </c>
      <c r="B86" t="s">
        <v>61</v>
      </c>
      <c r="C86">
        <v>1</v>
      </c>
      <c r="D86" s="4" t="s">
        <v>23</v>
      </c>
      <c r="E86" s="4" t="s">
        <v>43</v>
      </c>
      <c r="F86" s="4" t="s">
        <v>28</v>
      </c>
      <c r="G86" s="4" t="s">
        <v>55</v>
      </c>
      <c r="H86" s="4" t="s">
        <v>25</v>
      </c>
    </row>
    <row r="87" spans="1:15" x14ac:dyDescent="0.2">
      <c r="A87">
        <v>22</v>
      </c>
      <c r="B87" t="s">
        <v>61</v>
      </c>
      <c r="C87">
        <v>2</v>
      </c>
      <c r="D87" s="4" t="s">
        <v>28</v>
      </c>
      <c r="E87" s="4" t="s">
        <v>44</v>
      </c>
      <c r="F87" s="4" t="s">
        <v>28</v>
      </c>
      <c r="G87" s="4" t="s">
        <v>58</v>
      </c>
      <c r="H87" s="4" t="s">
        <v>30</v>
      </c>
      <c r="I87" t="s">
        <v>31</v>
      </c>
      <c r="J87">
        <v>12</v>
      </c>
      <c r="K87">
        <v>12</v>
      </c>
      <c r="L87">
        <v>13.91</v>
      </c>
      <c r="M87">
        <v>13.91</v>
      </c>
      <c r="N87">
        <v>7.87</v>
      </c>
      <c r="O87">
        <v>9.24</v>
      </c>
    </row>
    <row r="88" spans="1:15" x14ac:dyDescent="0.2">
      <c r="A88">
        <v>23</v>
      </c>
      <c r="B88" t="s">
        <v>61</v>
      </c>
      <c r="C88">
        <v>3</v>
      </c>
      <c r="D88" s="4" t="s">
        <v>33</v>
      </c>
      <c r="E88" s="4" t="s">
        <v>45</v>
      </c>
      <c r="F88" s="4" t="s">
        <v>28</v>
      </c>
      <c r="G88" s="4" t="s">
        <v>60</v>
      </c>
      <c r="H88" s="4" t="s">
        <v>25</v>
      </c>
    </row>
    <row r="89" spans="1:15" x14ac:dyDescent="0.2">
      <c r="A89">
        <v>24</v>
      </c>
      <c r="B89" t="s">
        <v>62</v>
      </c>
      <c r="C89">
        <v>1</v>
      </c>
      <c r="D89" s="4" t="s">
        <v>23</v>
      </c>
      <c r="E89" s="4" t="s">
        <v>47</v>
      </c>
      <c r="F89" s="4" t="s">
        <v>28</v>
      </c>
      <c r="G89" s="4" t="s">
        <v>55</v>
      </c>
      <c r="H89" s="4" t="s">
        <v>23</v>
      </c>
    </row>
    <row r="90" spans="1:15" x14ac:dyDescent="0.2">
      <c r="A90">
        <v>25</v>
      </c>
      <c r="B90" t="s">
        <v>62</v>
      </c>
      <c r="C90">
        <v>2</v>
      </c>
      <c r="D90" s="4" t="s">
        <v>28</v>
      </c>
      <c r="E90" s="4" t="s">
        <v>48</v>
      </c>
      <c r="F90" s="4" t="s">
        <v>28</v>
      </c>
      <c r="G90" s="4" t="s">
        <v>58</v>
      </c>
      <c r="H90" s="4" t="s">
        <v>35</v>
      </c>
      <c r="I90" t="s">
        <v>31</v>
      </c>
      <c r="J90">
        <v>18</v>
      </c>
      <c r="K90">
        <v>18</v>
      </c>
      <c r="L90">
        <v>30.1</v>
      </c>
      <c r="M90">
        <v>30.1</v>
      </c>
      <c r="N90">
        <v>4.8</v>
      </c>
      <c r="O90">
        <v>9.7799999999999994</v>
      </c>
    </row>
    <row r="91" spans="1:15" x14ac:dyDescent="0.2">
      <c r="A91">
        <v>26</v>
      </c>
      <c r="B91" t="s">
        <v>63</v>
      </c>
      <c r="C91">
        <v>1</v>
      </c>
      <c r="D91" s="4" t="s">
        <v>23</v>
      </c>
      <c r="E91" s="4" t="s">
        <v>51</v>
      </c>
      <c r="F91" s="4" t="s">
        <v>28</v>
      </c>
      <c r="G91" s="4" t="s">
        <v>55</v>
      </c>
      <c r="H91" s="4" t="s">
        <v>35</v>
      </c>
    </row>
    <row r="92" spans="1:15" x14ac:dyDescent="0.2">
      <c r="A92">
        <v>27</v>
      </c>
      <c r="B92" t="s">
        <v>63</v>
      </c>
      <c r="C92">
        <v>2</v>
      </c>
      <c r="D92" s="4" t="s">
        <v>28</v>
      </c>
      <c r="E92" s="4" t="s">
        <v>52</v>
      </c>
      <c r="F92" s="4" t="s">
        <v>28</v>
      </c>
      <c r="G92" s="4" t="s">
        <v>58</v>
      </c>
      <c r="H92" s="4" t="s">
        <v>35</v>
      </c>
      <c r="I92" t="s">
        <v>31</v>
      </c>
      <c r="J92">
        <v>6</v>
      </c>
      <c r="K92">
        <v>6</v>
      </c>
      <c r="L92">
        <v>5.04</v>
      </c>
      <c r="M92">
        <v>5.04</v>
      </c>
      <c r="N92">
        <v>32.270000000000003</v>
      </c>
      <c r="O92">
        <v>38.94</v>
      </c>
    </row>
    <row r="93" spans="1:15" x14ac:dyDescent="0.2">
      <c r="A93">
        <v>28</v>
      </c>
      <c r="B93" t="s">
        <v>63</v>
      </c>
      <c r="C93">
        <v>3</v>
      </c>
      <c r="D93" s="4" t="s">
        <v>33</v>
      </c>
      <c r="E93" s="4" t="s">
        <v>53</v>
      </c>
      <c r="F93" s="4" t="s">
        <v>28</v>
      </c>
      <c r="G93" s="4" t="s">
        <v>60</v>
      </c>
      <c r="H93" s="4" t="s">
        <v>35</v>
      </c>
    </row>
    <row r="94" spans="1:15" x14ac:dyDescent="0.2">
      <c r="I94" s="2" t="s">
        <v>66</v>
      </c>
      <c r="J94" s="1">
        <v>3.64</v>
      </c>
      <c r="K94" s="1">
        <v>3.64</v>
      </c>
      <c r="L94" s="1">
        <v>5.5</v>
      </c>
      <c r="M94" s="1">
        <v>5.5</v>
      </c>
    </row>
    <row r="95" spans="1:15" x14ac:dyDescent="0.2">
      <c r="A95">
        <v>1</v>
      </c>
      <c r="B95" t="s">
        <v>22</v>
      </c>
      <c r="C95">
        <v>1</v>
      </c>
      <c r="D95" s="4" t="s">
        <v>23</v>
      </c>
      <c r="E95" s="4" t="s">
        <v>23</v>
      </c>
      <c r="F95" s="4" t="s">
        <v>23</v>
      </c>
      <c r="G95" s="4" t="s">
        <v>24</v>
      </c>
      <c r="H95" s="4" t="s">
        <v>25</v>
      </c>
    </row>
    <row r="96" spans="1:15" x14ac:dyDescent="0.2">
      <c r="A96">
        <v>2</v>
      </c>
      <c r="B96" t="s">
        <v>22</v>
      </c>
      <c r="C96">
        <v>2</v>
      </c>
      <c r="D96" s="4" t="s">
        <v>28</v>
      </c>
      <c r="E96" s="4" t="s">
        <v>28</v>
      </c>
      <c r="F96" s="4" t="s">
        <v>23</v>
      </c>
      <c r="G96" s="4" t="s">
        <v>29</v>
      </c>
      <c r="H96" s="4" t="s">
        <v>30</v>
      </c>
      <c r="I96" t="s">
        <v>32</v>
      </c>
      <c r="J96">
        <v>3</v>
      </c>
      <c r="K96">
        <v>3</v>
      </c>
      <c r="L96">
        <v>5.94</v>
      </c>
      <c r="M96">
        <v>5.94</v>
      </c>
      <c r="N96">
        <v>46.48</v>
      </c>
      <c r="O96">
        <v>50.28</v>
      </c>
    </row>
    <row r="97" spans="1:15" x14ac:dyDescent="0.2">
      <c r="A97">
        <v>3</v>
      </c>
      <c r="B97" t="s">
        <v>22</v>
      </c>
      <c r="C97">
        <v>3</v>
      </c>
      <c r="D97" s="4" t="s">
        <v>33</v>
      </c>
      <c r="E97" s="4" t="s">
        <v>33</v>
      </c>
      <c r="F97" s="4" t="s">
        <v>23</v>
      </c>
      <c r="G97" s="4" t="s">
        <v>34</v>
      </c>
      <c r="H97" s="4" t="s">
        <v>35</v>
      </c>
    </row>
    <row r="98" spans="1:15" x14ac:dyDescent="0.2">
      <c r="A98">
        <v>4</v>
      </c>
      <c r="B98" t="s">
        <v>38</v>
      </c>
      <c r="C98">
        <v>1</v>
      </c>
      <c r="D98" s="4" t="s">
        <v>23</v>
      </c>
      <c r="E98" s="4" t="s">
        <v>39</v>
      </c>
      <c r="F98" s="4" t="s">
        <v>23</v>
      </c>
      <c r="G98" s="4" t="s">
        <v>24</v>
      </c>
      <c r="H98" s="4" t="s">
        <v>30</v>
      </c>
    </row>
    <row r="99" spans="1:15" x14ac:dyDescent="0.2">
      <c r="A99">
        <v>5</v>
      </c>
      <c r="B99" t="s">
        <v>38</v>
      </c>
      <c r="C99">
        <v>2</v>
      </c>
      <c r="D99" s="4" t="s">
        <v>28</v>
      </c>
      <c r="E99" s="4" t="s">
        <v>40</v>
      </c>
      <c r="F99" s="4" t="s">
        <v>23</v>
      </c>
      <c r="G99" s="4" t="s">
        <v>29</v>
      </c>
      <c r="H99" s="4" t="s">
        <v>25</v>
      </c>
      <c r="I99" t="s">
        <v>32</v>
      </c>
      <c r="J99">
        <v>3</v>
      </c>
      <c r="K99">
        <v>3</v>
      </c>
      <c r="L99">
        <v>6.67</v>
      </c>
      <c r="M99">
        <v>6.67</v>
      </c>
      <c r="N99">
        <v>26.99</v>
      </c>
      <c r="O99">
        <v>30.06</v>
      </c>
    </row>
    <row r="100" spans="1:15" x14ac:dyDescent="0.2">
      <c r="A100">
        <v>6</v>
      </c>
      <c r="B100" t="s">
        <v>38</v>
      </c>
      <c r="C100">
        <v>3</v>
      </c>
      <c r="D100" s="4" t="s">
        <v>33</v>
      </c>
      <c r="E100" s="4" t="s">
        <v>41</v>
      </c>
      <c r="F100" s="4" t="s">
        <v>23</v>
      </c>
      <c r="G100" s="4" t="s">
        <v>34</v>
      </c>
      <c r="H100" s="4" t="s">
        <v>35</v>
      </c>
    </row>
    <row r="101" spans="1:15" x14ac:dyDescent="0.2">
      <c r="A101">
        <v>7</v>
      </c>
      <c r="B101" t="s">
        <v>42</v>
      </c>
      <c r="C101">
        <v>1</v>
      </c>
      <c r="D101" s="4" t="s">
        <v>23</v>
      </c>
      <c r="E101" s="4" t="s">
        <v>43</v>
      </c>
      <c r="F101" s="4" t="s">
        <v>23</v>
      </c>
      <c r="G101" s="4" t="s">
        <v>24</v>
      </c>
      <c r="H101" s="4" t="s">
        <v>25</v>
      </c>
    </row>
    <row r="102" spans="1:15" x14ac:dyDescent="0.2">
      <c r="A102">
        <v>8</v>
      </c>
      <c r="B102" t="s">
        <v>42</v>
      </c>
      <c r="C102">
        <v>2</v>
      </c>
      <c r="D102" s="4" t="s">
        <v>28</v>
      </c>
      <c r="E102" s="4" t="s">
        <v>44</v>
      </c>
      <c r="F102" s="4" t="s">
        <v>23</v>
      </c>
      <c r="G102" s="4" t="s">
        <v>29</v>
      </c>
      <c r="H102" s="4" t="s">
        <v>30</v>
      </c>
      <c r="I102" t="s">
        <v>32</v>
      </c>
      <c r="J102">
        <v>8</v>
      </c>
      <c r="K102">
        <v>8</v>
      </c>
      <c r="L102">
        <v>7.04</v>
      </c>
      <c r="M102">
        <v>7.04</v>
      </c>
      <c r="N102">
        <v>28.66</v>
      </c>
      <c r="O102">
        <v>29.33</v>
      </c>
    </row>
    <row r="103" spans="1:15" x14ac:dyDescent="0.2">
      <c r="A103">
        <v>9</v>
      </c>
      <c r="B103" t="s">
        <v>42</v>
      </c>
      <c r="C103">
        <v>3</v>
      </c>
      <c r="D103" s="4" t="s">
        <v>33</v>
      </c>
      <c r="E103" s="4" t="s">
        <v>45</v>
      </c>
      <c r="F103" s="4" t="s">
        <v>23</v>
      </c>
      <c r="G103" s="4" t="s">
        <v>34</v>
      </c>
      <c r="H103" s="4" t="s">
        <v>25</v>
      </c>
    </row>
    <row r="104" spans="1:15" x14ac:dyDescent="0.2">
      <c r="A104">
        <v>10</v>
      </c>
      <c r="B104" t="s">
        <v>46</v>
      </c>
      <c r="C104">
        <v>1</v>
      </c>
      <c r="D104" s="4" t="s">
        <v>23</v>
      </c>
      <c r="E104" s="4" t="s">
        <v>47</v>
      </c>
      <c r="F104" s="4" t="s">
        <v>23</v>
      </c>
      <c r="G104" s="4" t="s">
        <v>24</v>
      </c>
      <c r="H104" s="4" t="s">
        <v>23</v>
      </c>
    </row>
    <row r="105" spans="1:15" x14ac:dyDescent="0.2">
      <c r="A105">
        <v>11</v>
      </c>
      <c r="B105" t="s">
        <v>46</v>
      </c>
      <c r="C105">
        <v>2</v>
      </c>
      <c r="D105" s="4" t="s">
        <v>28</v>
      </c>
      <c r="E105" s="4" t="s">
        <v>48</v>
      </c>
      <c r="F105" s="4" t="s">
        <v>23</v>
      </c>
      <c r="G105" s="4" t="s">
        <v>29</v>
      </c>
      <c r="H105" s="4" t="s">
        <v>35</v>
      </c>
      <c r="I105" t="s">
        <v>32</v>
      </c>
      <c r="J105">
        <v>10</v>
      </c>
      <c r="K105">
        <v>10</v>
      </c>
      <c r="L105">
        <v>17.38</v>
      </c>
      <c r="M105">
        <v>17.38</v>
      </c>
      <c r="N105">
        <v>11.58</v>
      </c>
      <c r="O105">
        <v>14.58</v>
      </c>
    </row>
    <row r="106" spans="1:15" x14ac:dyDescent="0.2">
      <c r="A106">
        <v>12</v>
      </c>
      <c r="B106" t="s">
        <v>46</v>
      </c>
      <c r="C106">
        <v>3</v>
      </c>
      <c r="D106" s="4" t="s">
        <v>33</v>
      </c>
      <c r="E106" s="4" t="s">
        <v>49</v>
      </c>
      <c r="F106" s="4" t="s">
        <v>23</v>
      </c>
      <c r="G106" s="4" t="s">
        <v>34</v>
      </c>
      <c r="H106" s="4" t="s">
        <v>35</v>
      </c>
    </row>
    <row r="107" spans="1:15" x14ac:dyDescent="0.2">
      <c r="A107">
        <v>13</v>
      </c>
      <c r="B107" t="s">
        <v>50</v>
      </c>
      <c r="C107">
        <v>1</v>
      </c>
      <c r="D107" s="4" t="s">
        <v>23</v>
      </c>
      <c r="E107" s="4" t="s">
        <v>51</v>
      </c>
      <c r="F107" s="4" t="s">
        <v>23</v>
      </c>
      <c r="G107" s="4" t="s">
        <v>24</v>
      </c>
      <c r="H107" s="4" t="s">
        <v>35</v>
      </c>
    </row>
    <row r="108" spans="1:15" x14ac:dyDescent="0.2">
      <c r="A108">
        <v>14</v>
      </c>
      <c r="B108" t="s">
        <v>50</v>
      </c>
      <c r="C108">
        <v>2</v>
      </c>
      <c r="D108" s="4" t="s">
        <v>28</v>
      </c>
      <c r="E108" s="4" t="s">
        <v>52</v>
      </c>
      <c r="F108" s="4" t="s">
        <v>23</v>
      </c>
      <c r="G108" s="4" t="s">
        <v>29</v>
      </c>
      <c r="H108" s="4" t="s">
        <v>35</v>
      </c>
      <c r="I108" t="s">
        <v>32</v>
      </c>
      <c r="J108">
        <v>13</v>
      </c>
      <c r="K108">
        <v>13</v>
      </c>
      <c r="L108">
        <v>14.68</v>
      </c>
      <c r="M108">
        <v>14.68</v>
      </c>
      <c r="N108">
        <v>29.7</v>
      </c>
      <c r="O108">
        <v>31.16</v>
      </c>
    </row>
    <row r="109" spans="1:15" x14ac:dyDescent="0.2">
      <c r="A109">
        <v>15</v>
      </c>
      <c r="B109" t="s">
        <v>50</v>
      </c>
      <c r="C109">
        <v>3</v>
      </c>
      <c r="D109" s="4" t="s">
        <v>33</v>
      </c>
      <c r="E109" s="4" t="s">
        <v>53</v>
      </c>
      <c r="F109" s="4" t="s">
        <v>23</v>
      </c>
      <c r="G109" s="4" t="s">
        <v>34</v>
      </c>
      <c r="H109" s="4" t="s">
        <v>35</v>
      </c>
    </row>
    <row r="110" spans="1:15" x14ac:dyDescent="0.2">
      <c r="A110">
        <v>16</v>
      </c>
      <c r="B110" t="s">
        <v>54</v>
      </c>
      <c r="C110">
        <v>1</v>
      </c>
      <c r="D110" s="4" t="s">
        <v>23</v>
      </c>
      <c r="E110" s="4" t="s">
        <v>23</v>
      </c>
      <c r="F110" s="4" t="s">
        <v>28</v>
      </c>
      <c r="G110" s="4" t="s">
        <v>55</v>
      </c>
      <c r="H110" s="4" t="s">
        <v>25</v>
      </c>
    </row>
    <row r="111" spans="1:15" x14ac:dyDescent="0.2">
      <c r="A111">
        <v>17</v>
      </c>
      <c r="B111" t="s">
        <v>54</v>
      </c>
      <c r="C111">
        <v>2</v>
      </c>
      <c r="D111" s="4" t="s">
        <v>28</v>
      </c>
      <c r="E111" s="4" t="s">
        <v>28</v>
      </c>
      <c r="F111" s="4" t="s">
        <v>28</v>
      </c>
      <c r="G111" s="4" t="s">
        <v>58</v>
      </c>
      <c r="H111" s="4" t="s">
        <v>30</v>
      </c>
    </row>
    <row r="112" spans="1:15" x14ac:dyDescent="0.2">
      <c r="A112">
        <v>18</v>
      </c>
      <c r="B112" t="s">
        <v>59</v>
      </c>
      <c r="C112">
        <v>1</v>
      </c>
      <c r="D112" s="4" t="s">
        <v>23</v>
      </c>
      <c r="E112" s="4" t="s">
        <v>39</v>
      </c>
      <c r="F112" s="4" t="s">
        <v>28</v>
      </c>
      <c r="G112" s="4" t="s">
        <v>55</v>
      </c>
      <c r="H112" s="4" t="s">
        <v>30</v>
      </c>
    </row>
    <row r="113" spans="1:15" x14ac:dyDescent="0.2">
      <c r="A113">
        <v>19</v>
      </c>
      <c r="B113" t="s">
        <v>59</v>
      </c>
      <c r="C113">
        <v>2</v>
      </c>
      <c r="D113" s="4" t="s">
        <v>28</v>
      </c>
      <c r="E113" s="4" t="s">
        <v>40</v>
      </c>
      <c r="F113" s="4" t="s">
        <v>28</v>
      </c>
      <c r="G113" s="4" t="s">
        <v>58</v>
      </c>
      <c r="H113" s="4" t="s">
        <v>25</v>
      </c>
    </row>
    <row r="114" spans="1:15" x14ac:dyDescent="0.2">
      <c r="A114">
        <v>20</v>
      </c>
      <c r="B114" t="s">
        <v>59</v>
      </c>
      <c r="C114">
        <v>3</v>
      </c>
      <c r="D114" s="4" t="s">
        <v>33</v>
      </c>
      <c r="E114" s="4" t="s">
        <v>41</v>
      </c>
      <c r="F114" s="4" t="s">
        <v>28</v>
      </c>
      <c r="G114" s="4" t="s">
        <v>60</v>
      </c>
      <c r="H114" s="4" t="s">
        <v>35</v>
      </c>
    </row>
    <row r="115" spans="1:15" x14ac:dyDescent="0.2">
      <c r="A115">
        <v>21</v>
      </c>
      <c r="B115" t="s">
        <v>61</v>
      </c>
      <c r="C115">
        <v>1</v>
      </c>
      <c r="D115" s="4" t="s">
        <v>23</v>
      </c>
      <c r="E115" s="4" t="s">
        <v>43</v>
      </c>
      <c r="F115" s="4" t="s">
        <v>28</v>
      </c>
      <c r="G115" s="4" t="s">
        <v>55</v>
      </c>
      <c r="H115" s="4" t="s">
        <v>25</v>
      </c>
    </row>
    <row r="116" spans="1:15" x14ac:dyDescent="0.2">
      <c r="A116">
        <v>22</v>
      </c>
      <c r="B116" t="s">
        <v>61</v>
      </c>
      <c r="C116">
        <v>2</v>
      </c>
      <c r="D116" s="4" t="s">
        <v>28</v>
      </c>
      <c r="E116" s="4" t="s">
        <v>44</v>
      </c>
      <c r="F116" s="4" t="s">
        <v>28</v>
      </c>
      <c r="G116" s="4" t="s">
        <v>58</v>
      </c>
      <c r="H116" s="4" t="s">
        <v>30</v>
      </c>
    </row>
    <row r="117" spans="1:15" x14ac:dyDescent="0.2">
      <c r="A117">
        <v>23</v>
      </c>
      <c r="B117" t="s">
        <v>61</v>
      </c>
      <c r="C117">
        <v>3</v>
      </c>
      <c r="D117" s="4" t="s">
        <v>33</v>
      </c>
      <c r="E117" s="4" t="s">
        <v>45</v>
      </c>
      <c r="F117" s="4" t="s">
        <v>28</v>
      </c>
      <c r="G117" s="4" t="s">
        <v>60</v>
      </c>
      <c r="H117" s="4" t="s">
        <v>25</v>
      </c>
    </row>
    <row r="118" spans="1:15" x14ac:dyDescent="0.2">
      <c r="A118">
        <v>24</v>
      </c>
      <c r="B118" t="s">
        <v>62</v>
      </c>
      <c r="C118">
        <v>1</v>
      </c>
      <c r="D118" s="4" t="s">
        <v>23</v>
      </c>
      <c r="E118" s="4" t="s">
        <v>47</v>
      </c>
      <c r="F118" s="4" t="s">
        <v>28</v>
      </c>
      <c r="G118" s="4" t="s">
        <v>55</v>
      </c>
      <c r="H118" s="4" t="s">
        <v>23</v>
      </c>
    </row>
    <row r="119" spans="1:15" x14ac:dyDescent="0.2">
      <c r="A119">
        <v>25</v>
      </c>
      <c r="B119" t="s">
        <v>62</v>
      </c>
      <c r="C119">
        <v>2</v>
      </c>
      <c r="D119" s="4" t="s">
        <v>28</v>
      </c>
      <c r="E119" s="4" t="s">
        <v>48</v>
      </c>
      <c r="F119" s="4" t="s">
        <v>28</v>
      </c>
      <c r="G119" s="4" t="s">
        <v>58</v>
      </c>
      <c r="H119" s="4" t="s">
        <v>35</v>
      </c>
    </row>
    <row r="120" spans="1:15" x14ac:dyDescent="0.2">
      <c r="A120">
        <v>26</v>
      </c>
      <c r="B120" t="s">
        <v>63</v>
      </c>
      <c r="C120">
        <v>1</v>
      </c>
      <c r="D120" s="4" t="s">
        <v>23</v>
      </c>
      <c r="E120" s="4" t="s">
        <v>51</v>
      </c>
      <c r="F120" s="4" t="s">
        <v>28</v>
      </c>
      <c r="G120" s="4" t="s">
        <v>55</v>
      </c>
      <c r="H120" s="4" t="s">
        <v>35</v>
      </c>
    </row>
    <row r="121" spans="1:15" x14ac:dyDescent="0.2">
      <c r="A121">
        <v>27</v>
      </c>
      <c r="B121" t="s">
        <v>63</v>
      </c>
      <c r="C121">
        <v>2</v>
      </c>
      <c r="D121" s="4" t="s">
        <v>28</v>
      </c>
      <c r="E121" s="4" t="s">
        <v>52</v>
      </c>
      <c r="F121" s="4" t="s">
        <v>28</v>
      </c>
      <c r="G121" s="4" t="s">
        <v>58</v>
      </c>
      <c r="H121" s="4" t="s">
        <v>35</v>
      </c>
    </row>
    <row r="122" spans="1:15" x14ac:dyDescent="0.2">
      <c r="A122">
        <v>28</v>
      </c>
      <c r="B122" t="s">
        <v>63</v>
      </c>
      <c r="C122">
        <v>3</v>
      </c>
      <c r="D122" s="4" t="s">
        <v>33</v>
      </c>
      <c r="E122" s="4" t="s">
        <v>53</v>
      </c>
      <c r="F122" s="4" t="s">
        <v>28</v>
      </c>
      <c r="G122" s="4" t="s">
        <v>60</v>
      </c>
      <c r="H122" s="4" t="s">
        <v>35</v>
      </c>
    </row>
    <row r="123" spans="1:15" x14ac:dyDescent="0.2">
      <c r="I123" s="2" t="s">
        <v>67</v>
      </c>
      <c r="J123" s="1">
        <v>1.32</v>
      </c>
      <c r="K123" s="1">
        <v>1.32</v>
      </c>
      <c r="L123" s="1">
        <v>1.85</v>
      </c>
      <c r="M123" s="1">
        <v>1.85</v>
      </c>
    </row>
    <row r="124" spans="1:15" x14ac:dyDescent="0.2">
      <c r="A124">
        <v>1</v>
      </c>
      <c r="B124" t="s">
        <v>22</v>
      </c>
      <c r="C124">
        <v>1</v>
      </c>
      <c r="D124" s="4" t="s">
        <v>23</v>
      </c>
      <c r="E124" s="4" t="s">
        <v>23</v>
      </c>
      <c r="F124" s="4" t="s">
        <v>23</v>
      </c>
      <c r="G124" s="4" t="s">
        <v>24</v>
      </c>
      <c r="H124" s="4" t="s">
        <v>25</v>
      </c>
    </row>
    <row r="125" spans="1:15" x14ac:dyDescent="0.2">
      <c r="A125">
        <v>2</v>
      </c>
      <c r="B125" t="s">
        <v>22</v>
      </c>
      <c r="C125">
        <v>2</v>
      </c>
      <c r="D125" s="4" t="s">
        <v>28</v>
      </c>
      <c r="E125" s="4" t="s">
        <v>28</v>
      </c>
      <c r="F125" s="4" t="s">
        <v>23</v>
      </c>
      <c r="G125" s="4" t="s">
        <v>29</v>
      </c>
      <c r="H125" s="4" t="s">
        <v>30</v>
      </c>
    </row>
    <row r="126" spans="1:15" x14ac:dyDescent="0.2">
      <c r="A126">
        <v>3</v>
      </c>
      <c r="B126" t="s">
        <v>22</v>
      </c>
      <c r="C126">
        <v>3</v>
      </c>
      <c r="D126" s="4" t="s">
        <v>33</v>
      </c>
      <c r="E126" s="4" t="s">
        <v>33</v>
      </c>
      <c r="F126" s="4" t="s">
        <v>23</v>
      </c>
      <c r="G126" s="4" t="s">
        <v>34</v>
      </c>
      <c r="H126" s="4" t="s">
        <v>35</v>
      </c>
      <c r="I126" t="s">
        <v>36</v>
      </c>
      <c r="J126">
        <v>4</v>
      </c>
      <c r="K126">
        <v>4</v>
      </c>
      <c r="L126">
        <v>10.84</v>
      </c>
      <c r="M126">
        <v>10.84</v>
      </c>
      <c r="N126">
        <v>13.51</v>
      </c>
      <c r="O126">
        <v>15.58</v>
      </c>
    </row>
    <row r="127" spans="1:15" x14ac:dyDescent="0.2">
      <c r="A127">
        <v>4</v>
      </c>
      <c r="B127" t="s">
        <v>38</v>
      </c>
      <c r="C127">
        <v>1</v>
      </c>
      <c r="D127" s="4" t="s">
        <v>23</v>
      </c>
      <c r="E127" s="4" t="s">
        <v>39</v>
      </c>
      <c r="F127" s="4" t="s">
        <v>23</v>
      </c>
      <c r="G127" s="4" t="s">
        <v>24</v>
      </c>
      <c r="H127" s="4" t="s">
        <v>30</v>
      </c>
    </row>
    <row r="128" spans="1:15" x14ac:dyDescent="0.2">
      <c r="A128">
        <v>5</v>
      </c>
      <c r="B128" t="s">
        <v>38</v>
      </c>
      <c r="C128">
        <v>2</v>
      </c>
      <c r="D128" s="4" t="s">
        <v>28</v>
      </c>
      <c r="E128" s="4" t="s">
        <v>40</v>
      </c>
      <c r="F128" s="4" t="s">
        <v>23</v>
      </c>
      <c r="G128" s="4" t="s">
        <v>29</v>
      </c>
      <c r="H128" s="4" t="s">
        <v>25</v>
      </c>
    </row>
    <row r="129" spans="1:15" x14ac:dyDescent="0.2">
      <c r="A129">
        <v>6</v>
      </c>
      <c r="B129" t="s">
        <v>38</v>
      </c>
      <c r="C129">
        <v>3</v>
      </c>
      <c r="D129" s="4" t="s">
        <v>33</v>
      </c>
      <c r="E129" s="4" t="s">
        <v>41</v>
      </c>
      <c r="F129" s="4" t="s">
        <v>23</v>
      </c>
      <c r="G129" s="4" t="s">
        <v>34</v>
      </c>
      <c r="H129" s="4" t="s">
        <v>35</v>
      </c>
      <c r="I129" t="s">
        <v>36</v>
      </c>
      <c r="J129">
        <v>4</v>
      </c>
      <c r="K129">
        <v>4</v>
      </c>
      <c r="L129">
        <v>5.44</v>
      </c>
      <c r="M129">
        <v>5.44</v>
      </c>
      <c r="N129">
        <v>11.58</v>
      </c>
      <c r="O129">
        <v>19.850000000000001</v>
      </c>
    </row>
    <row r="130" spans="1:15" x14ac:dyDescent="0.2">
      <c r="A130">
        <v>7</v>
      </c>
      <c r="B130" t="s">
        <v>42</v>
      </c>
      <c r="C130">
        <v>1</v>
      </c>
      <c r="D130" s="4" t="s">
        <v>23</v>
      </c>
      <c r="E130" s="4" t="s">
        <v>43</v>
      </c>
      <c r="F130" s="4" t="s">
        <v>23</v>
      </c>
      <c r="G130" s="4" t="s">
        <v>24</v>
      </c>
      <c r="H130" s="4" t="s">
        <v>25</v>
      </c>
    </row>
    <row r="131" spans="1:15" x14ac:dyDescent="0.2">
      <c r="A131">
        <v>8</v>
      </c>
      <c r="B131" t="s">
        <v>42</v>
      </c>
      <c r="C131">
        <v>2</v>
      </c>
      <c r="D131" s="4" t="s">
        <v>28</v>
      </c>
      <c r="E131" s="4" t="s">
        <v>44</v>
      </c>
      <c r="F131" s="4" t="s">
        <v>23</v>
      </c>
      <c r="G131" s="4" t="s">
        <v>29</v>
      </c>
      <c r="H131" s="4" t="s">
        <v>30</v>
      </c>
    </row>
    <row r="132" spans="1:15" x14ac:dyDescent="0.2">
      <c r="A132">
        <v>9</v>
      </c>
      <c r="B132" t="s">
        <v>42</v>
      </c>
      <c r="C132">
        <v>3</v>
      </c>
      <c r="D132" s="4" t="s">
        <v>33</v>
      </c>
      <c r="E132" s="4" t="s">
        <v>45</v>
      </c>
      <c r="F132" s="4" t="s">
        <v>23</v>
      </c>
      <c r="G132" s="4" t="s">
        <v>34</v>
      </c>
      <c r="H132" s="4" t="s">
        <v>25</v>
      </c>
      <c r="I132" t="s">
        <v>36</v>
      </c>
      <c r="J132">
        <v>16</v>
      </c>
      <c r="K132">
        <v>16</v>
      </c>
      <c r="L132">
        <v>24.56</v>
      </c>
      <c r="M132">
        <v>24.56</v>
      </c>
      <c r="N132">
        <v>24.56</v>
      </c>
      <c r="O132">
        <v>25.53</v>
      </c>
    </row>
    <row r="133" spans="1:15" x14ac:dyDescent="0.2">
      <c r="A133">
        <v>10</v>
      </c>
      <c r="B133" t="s">
        <v>46</v>
      </c>
      <c r="C133">
        <v>1</v>
      </c>
      <c r="D133" s="4" t="s">
        <v>23</v>
      </c>
      <c r="E133" s="4" t="s">
        <v>47</v>
      </c>
      <c r="F133" s="4" t="s">
        <v>23</v>
      </c>
      <c r="G133" s="4" t="s">
        <v>24</v>
      </c>
      <c r="H133" s="4" t="s">
        <v>23</v>
      </c>
    </row>
    <row r="134" spans="1:15" x14ac:dyDescent="0.2">
      <c r="A134">
        <v>11</v>
      </c>
      <c r="B134" t="s">
        <v>46</v>
      </c>
      <c r="C134">
        <v>2</v>
      </c>
      <c r="D134" s="4" t="s">
        <v>28</v>
      </c>
      <c r="E134" s="4" t="s">
        <v>48</v>
      </c>
      <c r="F134" s="4" t="s">
        <v>23</v>
      </c>
      <c r="G134" s="4" t="s">
        <v>29</v>
      </c>
      <c r="H134" s="4" t="s">
        <v>35</v>
      </c>
    </row>
    <row r="135" spans="1:15" x14ac:dyDescent="0.2">
      <c r="A135">
        <v>12</v>
      </c>
      <c r="B135" t="s">
        <v>46</v>
      </c>
      <c r="C135">
        <v>3</v>
      </c>
      <c r="D135" s="4" t="s">
        <v>33</v>
      </c>
      <c r="E135" s="4" t="s">
        <v>49</v>
      </c>
      <c r="F135" s="4" t="s">
        <v>23</v>
      </c>
      <c r="G135" s="4" t="s">
        <v>34</v>
      </c>
      <c r="H135" s="4" t="s">
        <v>35</v>
      </c>
      <c r="I135" t="s">
        <v>36</v>
      </c>
      <c r="J135">
        <v>2</v>
      </c>
      <c r="K135">
        <v>2</v>
      </c>
      <c r="L135">
        <v>4.0999999999999996</v>
      </c>
      <c r="M135">
        <v>4.0999999999999996</v>
      </c>
      <c r="N135">
        <v>18.32</v>
      </c>
      <c r="O135">
        <v>20.52</v>
      </c>
    </row>
    <row r="136" spans="1:15" x14ac:dyDescent="0.2">
      <c r="A136">
        <v>13</v>
      </c>
      <c r="B136" t="s">
        <v>50</v>
      </c>
      <c r="C136">
        <v>1</v>
      </c>
      <c r="D136" s="4" t="s">
        <v>23</v>
      </c>
      <c r="E136" s="4" t="s">
        <v>51</v>
      </c>
      <c r="F136" s="4" t="s">
        <v>23</v>
      </c>
      <c r="G136" s="4" t="s">
        <v>24</v>
      </c>
      <c r="H136" s="4" t="s">
        <v>35</v>
      </c>
    </row>
    <row r="137" spans="1:15" x14ac:dyDescent="0.2">
      <c r="A137">
        <v>14</v>
      </c>
      <c r="B137" t="s">
        <v>50</v>
      </c>
      <c r="C137">
        <v>2</v>
      </c>
      <c r="D137" s="4" t="s">
        <v>28</v>
      </c>
      <c r="E137" s="4" t="s">
        <v>52</v>
      </c>
      <c r="F137" s="4" t="s">
        <v>23</v>
      </c>
      <c r="G137" s="4" t="s">
        <v>29</v>
      </c>
      <c r="H137" s="4" t="s">
        <v>35</v>
      </c>
    </row>
    <row r="138" spans="1:15" x14ac:dyDescent="0.2">
      <c r="A138">
        <v>15</v>
      </c>
      <c r="B138" t="s">
        <v>50</v>
      </c>
      <c r="C138">
        <v>3</v>
      </c>
      <c r="D138" s="4" t="s">
        <v>33</v>
      </c>
      <c r="E138" s="4" t="s">
        <v>53</v>
      </c>
      <c r="F138" s="4" t="s">
        <v>23</v>
      </c>
      <c r="G138" s="4" t="s">
        <v>34</v>
      </c>
      <c r="H138" s="4" t="s">
        <v>35</v>
      </c>
      <c r="I138" t="s">
        <v>36</v>
      </c>
      <c r="J138">
        <v>12</v>
      </c>
      <c r="K138">
        <v>12</v>
      </c>
      <c r="L138">
        <v>17.12</v>
      </c>
      <c r="M138">
        <v>17.12</v>
      </c>
      <c r="N138">
        <v>5.37</v>
      </c>
      <c r="O138">
        <v>12.35</v>
      </c>
    </row>
    <row r="139" spans="1:15" x14ac:dyDescent="0.2">
      <c r="A139">
        <v>16</v>
      </c>
      <c r="B139" t="s">
        <v>54</v>
      </c>
      <c r="C139">
        <v>1</v>
      </c>
      <c r="D139" s="4" t="s">
        <v>23</v>
      </c>
      <c r="E139" s="4" t="s">
        <v>23</v>
      </c>
      <c r="F139" s="4" t="s">
        <v>28</v>
      </c>
      <c r="G139" s="4" t="s">
        <v>55</v>
      </c>
      <c r="H139" s="4" t="s">
        <v>25</v>
      </c>
    </row>
    <row r="140" spans="1:15" x14ac:dyDescent="0.2">
      <c r="A140">
        <v>17</v>
      </c>
      <c r="B140" t="s">
        <v>54</v>
      </c>
      <c r="C140">
        <v>2</v>
      </c>
      <c r="D140" s="4" t="s">
        <v>28</v>
      </c>
      <c r="E140" s="4" t="s">
        <v>28</v>
      </c>
      <c r="F140" s="4" t="s">
        <v>28</v>
      </c>
      <c r="G140" s="4" t="s">
        <v>58</v>
      </c>
      <c r="H140" s="4" t="s">
        <v>30</v>
      </c>
    </row>
    <row r="141" spans="1:15" x14ac:dyDescent="0.2">
      <c r="A141">
        <v>18</v>
      </c>
      <c r="B141" t="s">
        <v>59</v>
      </c>
      <c r="C141">
        <v>1</v>
      </c>
      <c r="D141" s="4" t="s">
        <v>23</v>
      </c>
      <c r="E141" s="4" t="s">
        <v>39</v>
      </c>
      <c r="F141" s="4" t="s">
        <v>28</v>
      </c>
      <c r="G141" s="4" t="s">
        <v>55</v>
      </c>
      <c r="H141" s="4" t="s">
        <v>30</v>
      </c>
    </row>
    <row r="142" spans="1:15" x14ac:dyDescent="0.2">
      <c r="A142">
        <v>19</v>
      </c>
      <c r="B142" t="s">
        <v>59</v>
      </c>
      <c r="C142">
        <v>2</v>
      </c>
      <c r="D142" s="4" t="s">
        <v>28</v>
      </c>
      <c r="E142" s="4" t="s">
        <v>40</v>
      </c>
      <c r="F142" s="4" t="s">
        <v>28</v>
      </c>
      <c r="G142" s="4" t="s">
        <v>58</v>
      </c>
      <c r="H142" s="4" t="s">
        <v>25</v>
      </c>
    </row>
    <row r="143" spans="1:15" x14ac:dyDescent="0.2">
      <c r="A143">
        <v>20</v>
      </c>
      <c r="B143" t="s">
        <v>59</v>
      </c>
      <c r="C143">
        <v>3</v>
      </c>
      <c r="D143" s="4" t="s">
        <v>33</v>
      </c>
      <c r="E143" s="4" t="s">
        <v>41</v>
      </c>
      <c r="F143" s="4" t="s">
        <v>28</v>
      </c>
      <c r="G143" s="4" t="s">
        <v>60</v>
      </c>
      <c r="H143" s="4" t="s">
        <v>35</v>
      </c>
      <c r="I143" t="s">
        <v>36</v>
      </c>
      <c r="J143">
        <v>8</v>
      </c>
      <c r="K143">
        <v>8</v>
      </c>
      <c r="L143">
        <v>16.72</v>
      </c>
      <c r="M143">
        <v>16.72</v>
      </c>
      <c r="N143">
        <v>18.18</v>
      </c>
      <c r="O143">
        <v>29.06</v>
      </c>
    </row>
    <row r="144" spans="1:15" x14ac:dyDescent="0.2">
      <c r="A144">
        <v>21</v>
      </c>
      <c r="B144" t="s">
        <v>61</v>
      </c>
      <c r="C144">
        <v>1</v>
      </c>
      <c r="D144" s="4" t="s">
        <v>23</v>
      </c>
      <c r="E144" s="4" t="s">
        <v>43</v>
      </c>
      <c r="F144" s="4" t="s">
        <v>28</v>
      </c>
      <c r="G144" s="4" t="s">
        <v>55</v>
      </c>
      <c r="H144" s="4" t="s">
        <v>25</v>
      </c>
    </row>
    <row r="145" spans="1:15" x14ac:dyDescent="0.2">
      <c r="A145">
        <v>22</v>
      </c>
      <c r="B145" t="s">
        <v>61</v>
      </c>
      <c r="C145">
        <v>2</v>
      </c>
      <c r="D145" s="4" t="s">
        <v>28</v>
      </c>
      <c r="E145" s="4" t="s">
        <v>44</v>
      </c>
      <c r="F145" s="4" t="s">
        <v>28</v>
      </c>
      <c r="G145" s="4" t="s">
        <v>58</v>
      </c>
      <c r="H145" s="4" t="s">
        <v>30</v>
      </c>
    </row>
    <row r="146" spans="1:15" x14ac:dyDescent="0.2">
      <c r="A146">
        <v>23</v>
      </c>
      <c r="B146" t="s">
        <v>61</v>
      </c>
      <c r="C146">
        <v>3</v>
      </c>
      <c r="D146" s="4" t="s">
        <v>33</v>
      </c>
      <c r="E146" s="4" t="s">
        <v>45</v>
      </c>
      <c r="F146" s="4" t="s">
        <v>28</v>
      </c>
      <c r="G146" s="4" t="s">
        <v>60</v>
      </c>
      <c r="H146" s="4" t="s">
        <v>25</v>
      </c>
      <c r="I146" t="s">
        <v>36</v>
      </c>
      <c r="J146">
        <v>17</v>
      </c>
      <c r="K146">
        <v>17</v>
      </c>
      <c r="L146">
        <v>37.97</v>
      </c>
      <c r="M146">
        <v>37.97</v>
      </c>
      <c r="N146">
        <v>2.2999999999999998</v>
      </c>
      <c r="O146">
        <v>14.05</v>
      </c>
    </row>
    <row r="147" spans="1:15" x14ac:dyDescent="0.2">
      <c r="A147">
        <v>24</v>
      </c>
      <c r="B147" t="s">
        <v>62</v>
      </c>
      <c r="C147">
        <v>1</v>
      </c>
      <c r="D147" s="4" t="s">
        <v>23</v>
      </c>
      <c r="E147" s="4" t="s">
        <v>47</v>
      </c>
      <c r="F147" s="4" t="s">
        <v>28</v>
      </c>
      <c r="G147" s="4" t="s">
        <v>55</v>
      </c>
      <c r="H147" s="4" t="s">
        <v>23</v>
      </c>
    </row>
    <row r="148" spans="1:15" x14ac:dyDescent="0.2">
      <c r="A148">
        <v>25</v>
      </c>
      <c r="B148" t="s">
        <v>62</v>
      </c>
      <c r="C148">
        <v>2</v>
      </c>
      <c r="D148" s="4" t="s">
        <v>28</v>
      </c>
      <c r="E148" s="4" t="s">
        <v>48</v>
      </c>
      <c r="F148" s="4" t="s">
        <v>28</v>
      </c>
      <c r="G148" s="4" t="s">
        <v>58</v>
      </c>
      <c r="H148" s="4" t="s">
        <v>35</v>
      </c>
    </row>
    <row r="149" spans="1:15" x14ac:dyDescent="0.2">
      <c r="A149">
        <v>26</v>
      </c>
      <c r="B149" t="s">
        <v>63</v>
      </c>
      <c r="C149">
        <v>1</v>
      </c>
      <c r="D149" s="4" t="s">
        <v>23</v>
      </c>
      <c r="E149" s="4" t="s">
        <v>51</v>
      </c>
      <c r="F149" s="4" t="s">
        <v>28</v>
      </c>
      <c r="G149" s="4" t="s">
        <v>55</v>
      </c>
      <c r="H149" s="4" t="s">
        <v>35</v>
      </c>
    </row>
    <row r="150" spans="1:15" x14ac:dyDescent="0.2">
      <c r="A150">
        <v>27</v>
      </c>
      <c r="B150" t="s">
        <v>63</v>
      </c>
      <c r="C150">
        <v>2</v>
      </c>
      <c r="D150" s="4" t="s">
        <v>28</v>
      </c>
      <c r="E150" s="4" t="s">
        <v>52</v>
      </c>
      <c r="F150" s="4" t="s">
        <v>28</v>
      </c>
      <c r="G150" s="4" t="s">
        <v>58</v>
      </c>
      <c r="H150" s="4" t="s">
        <v>35</v>
      </c>
    </row>
    <row r="151" spans="1:15" x14ac:dyDescent="0.2">
      <c r="A151">
        <v>28</v>
      </c>
      <c r="B151" t="s">
        <v>63</v>
      </c>
      <c r="C151">
        <v>3</v>
      </c>
      <c r="D151" s="4" t="s">
        <v>33</v>
      </c>
      <c r="E151" s="4" t="s">
        <v>53</v>
      </c>
      <c r="F151" s="4" t="s">
        <v>28</v>
      </c>
      <c r="G151" s="4" t="s">
        <v>60</v>
      </c>
      <c r="H151" s="4" t="s">
        <v>35</v>
      </c>
      <c r="I151" t="s">
        <v>36</v>
      </c>
      <c r="J151">
        <v>4</v>
      </c>
      <c r="K151">
        <v>4</v>
      </c>
      <c r="L151">
        <v>5.27</v>
      </c>
      <c r="M151">
        <v>5.27</v>
      </c>
      <c r="N151">
        <v>267.93</v>
      </c>
      <c r="O151">
        <v>280.18</v>
      </c>
    </row>
    <row r="152" spans="1:15" x14ac:dyDescent="0.2">
      <c r="I152" s="2" t="s">
        <v>68</v>
      </c>
      <c r="J152" s="1">
        <v>2.39</v>
      </c>
      <c r="K152" s="1">
        <v>2.39</v>
      </c>
      <c r="L152" s="1">
        <v>4.3600000000000003</v>
      </c>
      <c r="M152" s="1">
        <v>4.3600000000000003</v>
      </c>
    </row>
    <row r="153" spans="1:15" x14ac:dyDescent="0.2">
      <c r="A153">
        <v>1</v>
      </c>
      <c r="B153" t="s">
        <v>22</v>
      </c>
      <c r="C153">
        <v>1</v>
      </c>
      <c r="D153" s="4" t="s">
        <v>23</v>
      </c>
      <c r="E153" s="4" t="s">
        <v>23</v>
      </c>
      <c r="F153" s="4" t="s">
        <v>23</v>
      </c>
      <c r="G153" s="4" t="s">
        <v>24</v>
      </c>
      <c r="H153" s="4" t="s">
        <v>25</v>
      </c>
    </row>
    <row r="154" spans="1:15" x14ac:dyDescent="0.2">
      <c r="A154">
        <v>2</v>
      </c>
      <c r="B154" t="s">
        <v>22</v>
      </c>
      <c r="C154">
        <v>2</v>
      </c>
      <c r="D154" s="4" t="s">
        <v>28</v>
      </c>
      <c r="E154" s="4" t="s">
        <v>28</v>
      </c>
      <c r="F154" s="4" t="s">
        <v>23</v>
      </c>
      <c r="G154" s="4" t="s">
        <v>29</v>
      </c>
      <c r="H154" s="4" t="s">
        <v>30</v>
      </c>
    </row>
    <row r="155" spans="1:15" x14ac:dyDescent="0.2">
      <c r="A155">
        <v>3</v>
      </c>
      <c r="B155" t="s">
        <v>22</v>
      </c>
      <c r="C155">
        <v>3</v>
      </c>
      <c r="D155" s="4" t="s">
        <v>33</v>
      </c>
      <c r="E155" s="4" t="s">
        <v>33</v>
      </c>
      <c r="F155" s="4" t="s">
        <v>23</v>
      </c>
      <c r="G155" s="4" t="s">
        <v>34</v>
      </c>
      <c r="H155" s="4" t="s">
        <v>35</v>
      </c>
      <c r="I155" t="s">
        <v>37</v>
      </c>
      <c r="J155">
        <v>1</v>
      </c>
      <c r="K155">
        <v>1</v>
      </c>
      <c r="L155">
        <v>1.63</v>
      </c>
      <c r="M155">
        <v>1.63</v>
      </c>
      <c r="N155">
        <v>16.45</v>
      </c>
      <c r="O155">
        <v>18.12</v>
      </c>
    </row>
    <row r="156" spans="1:15" x14ac:dyDescent="0.2">
      <c r="A156">
        <v>4</v>
      </c>
      <c r="B156" t="s">
        <v>38</v>
      </c>
      <c r="C156">
        <v>1</v>
      </c>
      <c r="D156" s="4" t="s">
        <v>23</v>
      </c>
      <c r="E156" s="4" t="s">
        <v>39</v>
      </c>
      <c r="F156" s="4" t="s">
        <v>23</v>
      </c>
      <c r="G156" s="4" t="s">
        <v>24</v>
      </c>
      <c r="H156" s="4" t="s">
        <v>30</v>
      </c>
    </row>
    <row r="157" spans="1:15" x14ac:dyDescent="0.2">
      <c r="A157">
        <v>5</v>
      </c>
      <c r="B157" t="s">
        <v>38</v>
      </c>
      <c r="C157">
        <v>2</v>
      </c>
      <c r="D157" s="4" t="s">
        <v>28</v>
      </c>
      <c r="E157" s="4" t="s">
        <v>40</v>
      </c>
      <c r="F157" s="4" t="s">
        <v>23</v>
      </c>
      <c r="G157" s="4" t="s">
        <v>29</v>
      </c>
      <c r="H157" s="4" t="s">
        <v>25</v>
      </c>
    </row>
    <row r="158" spans="1:15" x14ac:dyDescent="0.2">
      <c r="A158">
        <v>6</v>
      </c>
      <c r="B158" t="s">
        <v>38</v>
      </c>
      <c r="C158">
        <v>3</v>
      </c>
      <c r="D158" s="4" t="s">
        <v>33</v>
      </c>
      <c r="E158" s="4" t="s">
        <v>41</v>
      </c>
      <c r="F158" s="4" t="s">
        <v>23</v>
      </c>
      <c r="G158" s="4" t="s">
        <v>34</v>
      </c>
      <c r="H158" s="4" t="s">
        <v>35</v>
      </c>
      <c r="I158" t="s">
        <v>37</v>
      </c>
      <c r="J158">
        <v>4</v>
      </c>
      <c r="K158">
        <v>4</v>
      </c>
      <c r="L158">
        <v>5.87</v>
      </c>
      <c r="M158">
        <v>5.87</v>
      </c>
      <c r="N158">
        <v>3.87</v>
      </c>
      <c r="O158">
        <v>11.14</v>
      </c>
    </row>
    <row r="159" spans="1:15" x14ac:dyDescent="0.2">
      <c r="A159">
        <v>7</v>
      </c>
      <c r="B159" t="s">
        <v>42</v>
      </c>
      <c r="C159">
        <v>1</v>
      </c>
      <c r="D159" s="4" t="s">
        <v>23</v>
      </c>
      <c r="E159" s="4" t="s">
        <v>43</v>
      </c>
      <c r="F159" s="4" t="s">
        <v>23</v>
      </c>
      <c r="G159" s="4" t="s">
        <v>24</v>
      </c>
      <c r="H159" s="4" t="s">
        <v>25</v>
      </c>
    </row>
    <row r="160" spans="1:15" x14ac:dyDescent="0.2">
      <c r="A160">
        <v>8</v>
      </c>
      <c r="B160" t="s">
        <v>42</v>
      </c>
      <c r="C160">
        <v>2</v>
      </c>
      <c r="D160" s="4" t="s">
        <v>28</v>
      </c>
      <c r="E160" s="4" t="s">
        <v>44</v>
      </c>
      <c r="F160" s="4" t="s">
        <v>23</v>
      </c>
      <c r="G160" s="4" t="s">
        <v>29</v>
      </c>
      <c r="H160" s="4" t="s">
        <v>30</v>
      </c>
    </row>
    <row r="161" spans="1:15" x14ac:dyDescent="0.2">
      <c r="A161">
        <v>9</v>
      </c>
      <c r="B161" t="s">
        <v>42</v>
      </c>
      <c r="C161">
        <v>3</v>
      </c>
      <c r="D161" s="4" t="s">
        <v>33</v>
      </c>
      <c r="E161" s="4" t="s">
        <v>45</v>
      </c>
      <c r="F161" s="4" t="s">
        <v>23</v>
      </c>
      <c r="G161" s="4" t="s">
        <v>34</v>
      </c>
      <c r="H161" s="4" t="s">
        <v>25</v>
      </c>
      <c r="I161" t="s">
        <v>37</v>
      </c>
      <c r="J161">
        <v>16</v>
      </c>
      <c r="K161">
        <v>16</v>
      </c>
      <c r="L161">
        <v>34.53</v>
      </c>
      <c r="M161">
        <v>34.53</v>
      </c>
      <c r="N161">
        <v>17.28</v>
      </c>
      <c r="O161">
        <v>20.12</v>
      </c>
    </row>
    <row r="162" spans="1:15" x14ac:dyDescent="0.2">
      <c r="A162">
        <v>10</v>
      </c>
      <c r="B162" t="s">
        <v>46</v>
      </c>
      <c r="C162">
        <v>1</v>
      </c>
      <c r="D162" s="4" t="s">
        <v>23</v>
      </c>
      <c r="E162" s="4" t="s">
        <v>47</v>
      </c>
      <c r="F162" s="4" t="s">
        <v>23</v>
      </c>
      <c r="G162" s="4" t="s">
        <v>24</v>
      </c>
      <c r="H162" s="4" t="s">
        <v>23</v>
      </c>
    </row>
    <row r="163" spans="1:15" x14ac:dyDescent="0.2">
      <c r="A163">
        <v>11</v>
      </c>
      <c r="B163" t="s">
        <v>46</v>
      </c>
      <c r="C163">
        <v>2</v>
      </c>
      <c r="D163" s="4" t="s">
        <v>28</v>
      </c>
      <c r="E163" s="4" t="s">
        <v>48</v>
      </c>
      <c r="F163" s="4" t="s">
        <v>23</v>
      </c>
      <c r="G163" s="4" t="s">
        <v>29</v>
      </c>
      <c r="H163" s="4" t="s">
        <v>35</v>
      </c>
    </row>
    <row r="164" spans="1:15" x14ac:dyDescent="0.2">
      <c r="A164">
        <v>12</v>
      </c>
      <c r="B164" t="s">
        <v>46</v>
      </c>
      <c r="C164">
        <v>3</v>
      </c>
      <c r="D164" s="4" t="s">
        <v>33</v>
      </c>
      <c r="E164" s="4" t="s">
        <v>49</v>
      </c>
      <c r="F164" s="4" t="s">
        <v>23</v>
      </c>
      <c r="G164" s="4" t="s">
        <v>34</v>
      </c>
      <c r="H164" s="4" t="s">
        <v>35</v>
      </c>
      <c r="I164" t="s">
        <v>37</v>
      </c>
      <c r="J164">
        <v>1</v>
      </c>
      <c r="K164">
        <v>1</v>
      </c>
      <c r="L164">
        <v>0.47</v>
      </c>
      <c r="M164">
        <v>0.47</v>
      </c>
      <c r="N164">
        <v>46.35</v>
      </c>
      <c r="O164">
        <v>46.85</v>
      </c>
    </row>
    <row r="165" spans="1:15" x14ac:dyDescent="0.2">
      <c r="A165">
        <v>13</v>
      </c>
      <c r="B165" t="s">
        <v>50</v>
      </c>
      <c r="C165">
        <v>1</v>
      </c>
      <c r="D165" s="4" t="s">
        <v>23</v>
      </c>
      <c r="E165" s="4" t="s">
        <v>51</v>
      </c>
      <c r="F165" s="4" t="s">
        <v>23</v>
      </c>
      <c r="G165" s="4" t="s">
        <v>24</v>
      </c>
      <c r="H165" s="4" t="s">
        <v>35</v>
      </c>
    </row>
    <row r="166" spans="1:15" x14ac:dyDescent="0.2">
      <c r="A166">
        <v>14</v>
      </c>
      <c r="B166" t="s">
        <v>50</v>
      </c>
      <c r="C166">
        <v>2</v>
      </c>
      <c r="D166" s="4" t="s">
        <v>28</v>
      </c>
      <c r="E166" s="4" t="s">
        <v>52</v>
      </c>
      <c r="F166" s="4" t="s">
        <v>23</v>
      </c>
      <c r="G166" s="4" t="s">
        <v>29</v>
      </c>
      <c r="H166" s="4" t="s">
        <v>35</v>
      </c>
    </row>
    <row r="167" spans="1:15" x14ac:dyDescent="0.2">
      <c r="A167">
        <v>15</v>
      </c>
      <c r="B167" t="s">
        <v>50</v>
      </c>
      <c r="C167">
        <v>3</v>
      </c>
      <c r="D167" s="4" t="s">
        <v>33</v>
      </c>
      <c r="E167" s="4" t="s">
        <v>53</v>
      </c>
      <c r="F167" s="4" t="s">
        <v>23</v>
      </c>
      <c r="G167" s="4" t="s">
        <v>34</v>
      </c>
      <c r="H167" s="4" t="s">
        <v>35</v>
      </c>
      <c r="I167" t="s">
        <v>37</v>
      </c>
      <c r="J167">
        <v>16</v>
      </c>
      <c r="K167">
        <v>16</v>
      </c>
      <c r="L167">
        <v>30</v>
      </c>
      <c r="M167">
        <v>30</v>
      </c>
      <c r="N167">
        <v>13.31</v>
      </c>
      <c r="O167">
        <v>23.96</v>
      </c>
    </row>
    <row r="168" spans="1:15" x14ac:dyDescent="0.2">
      <c r="A168">
        <v>16</v>
      </c>
      <c r="B168" t="s">
        <v>54</v>
      </c>
      <c r="C168">
        <v>1</v>
      </c>
      <c r="D168" s="4" t="s">
        <v>23</v>
      </c>
      <c r="E168" s="4" t="s">
        <v>23</v>
      </c>
      <c r="F168" s="4" t="s">
        <v>28</v>
      </c>
      <c r="G168" s="4" t="s">
        <v>55</v>
      </c>
      <c r="H168" s="4" t="s">
        <v>25</v>
      </c>
    </row>
    <row r="169" spans="1:15" x14ac:dyDescent="0.2">
      <c r="A169">
        <v>17</v>
      </c>
      <c r="B169" t="s">
        <v>54</v>
      </c>
      <c r="C169">
        <v>2</v>
      </c>
      <c r="D169" s="4" t="s">
        <v>28</v>
      </c>
      <c r="E169" s="4" t="s">
        <v>28</v>
      </c>
      <c r="F169" s="4" t="s">
        <v>28</v>
      </c>
      <c r="G169" s="4" t="s">
        <v>58</v>
      </c>
      <c r="H169" s="4" t="s">
        <v>30</v>
      </c>
    </row>
    <row r="170" spans="1:15" x14ac:dyDescent="0.2">
      <c r="A170">
        <v>18</v>
      </c>
      <c r="B170" t="s">
        <v>59</v>
      </c>
      <c r="C170">
        <v>1</v>
      </c>
      <c r="D170" s="4" t="s">
        <v>23</v>
      </c>
      <c r="E170" s="4" t="s">
        <v>39</v>
      </c>
      <c r="F170" s="4" t="s">
        <v>28</v>
      </c>
      <c r="G170" s="4" t="s">
        <v>55</v>
      </c>
      <c r="H170" s="4" t="s">
        <v>30</v>
      </c>
    </row>
    <row r="171" spans="1:15" x14ac:dyDescent="0.2">
      <c r="A171">
        <v>19</v>
      </c>
      <c r="B171" t="s">
        <v>59</v>
      </c>
      <c r="C171">
        <v>2</v>
      </c>
      <c r="D171" s="4" t="s">
        <v>28</v>
      </c>
      <c r="E171" s="4" t="s">
        <v>40</v>
      </c>
      <c r="F171" s="4" t="s">
        <v>28</v>
      </c>
      <c r="G171" s="4" t="s">
        <v>58</v>
      </c>
      <c r="H171" s="4" t="s">
        <v>25</v>
      </c>
    </row>
    <row r="172" spans="1:15" x14ac:dyDescent="0.2">
      <c r="A172">
        <v>20</v>
      </c>
      <c r="B172" t="s">
        <v>59</v>
      </c>
      <c r="C172">
        <v>3</v>
      </c>
      <c r="D172" s="4" t="s">
        <v>33</v>
      </c>
      <c r="E172" s="4" t="s">
        <v>41</v>
      </c>
      <c r="F172" s="4" t="s">
        <v>28</v>
      </c>
      <c r="G172" s="4" t="s">
        <v>60</v>
      </c>
      <c r="H172" s="4" t="s">
        <v>35</v>
      </c>
    </row>
    <row r="173" spans="1:15" x14ac:dyDescent="0.2">
      <c r="A173">
        <v>21</v>
      </c>
      <c r="B173" t="s">
        <v>61</v>
      </c>
      <c r="C173">
        <v>1</v>
      </c>
      <c r="D173" s="4" t="s">
        <v>23</v>
      </c>
      <c r="E173" s="4" t="s">
        <v>43</v>
      </c>
      <c r="F173" s="4" t="s">
        <v>28</v>
      </c>
      <c r="G173" s="4" t="s">
        <v>55</v>
      </c>
      <c r="H173" s="4" t="s">
        <v>25</v>
      </c>
    </row>
    <row r="174" spans="1:15" x14ac:dyDescent="0.2">
      <c r="A174">
        <v>22</v>
      </c>
      <c r="B174" t="s">
        <v>61</v>
      </c>
      <c r="C174">
        <v>2</v>
      </c>
      <c r="D174" s="4" t="s">
        <v>28</v>
      </c>
      <c r="E174" s="4" t="s">
        <v>44</v>
      </c>
      <c r="F174" s="4" t="s">
        <v>28</v>
      </c>
      <c r="G174" s="4" t="s">
        <v>58</v>
      </c>
      <c r="H174" s="4" t="s">
        <v>30</v>
      </c>
    </row>
    <row r="175" spans="1:15" x14ac:dyDescent="0.2">
      <c r="A175">
        <v>23</v>
      </c>
      <c r="B175" t="s">
        <v>61</v>
      </c>
      <c r="C175">
        <v>3</v>
      </c>
      <c r="D175" s="4" t="s">
        <v>33</v>
      </c>
      <c r="E175" s="4" t="s">
        <v>45</v>
      </c>
      <c r="F175" s="4" t="s">
        <v>28</v>
      </c>
      <c r="G175" s="4" t="s">
        <v>60</v>
      </c>
      <c r="H175" s="4" t="s">
        <v>25</v>
      </c>
    </row>
    <row r="176" spans="1:15" x14ac:dyDescent="0.2">
      <c r="A176">
        <v>24</v>
      </c>
      <c r="B176" t="s">
        <v>62</v>
      </c>
      <c r="C176">
        <v>1</v>
      </c>
      <c r="D176" s="4" t="s">
        <v>23</v>
      </c>
      <c r="E176" s="4" t="s">
        <v>47</v>
      </c>
      <c r="F176" s="4" t="s">
        <v>28</v>
      </c>
      <c r="G176" s="4" t="s">
        <v>55</v>
      </c>
      <c r="H176" s="4" t="s">
        <v>23</v>
      </c>
    </row>
    <row r="177" spans="1:13" x14ac:dyDescent="0.2">
      <c r="A177">
        <v>25</v>
      </c>
      <c r="B177" t="s">
        <v>62</v>
      </c>
      <c r="C177">
        <v>2</v>
      </c>
      <c r="D177" s="4" t="s">
        <v>28</v>
      </c>
      <c r="E177" s="4" t="s">
        <v>48</v>
      </c>
      <c r="F177" s="4" t="s">
        <v>28</v>
      </c>
      <c r="G177" s="4" t="s">
        <v>58</v>
      </c>
      <c r="H177" s="4" t="s">
        <v>35</v>
      </c>
    </row>
    <row r="178" spans="1:13" x14ac:dyDescent="0.2">
      <c r="A178">
        <v>26</v>
      </c>
      <c r="B178" t="s">
        <v>63</v>
      </c>
      <c r="C178">
        <v>1</v>
      </c>
      <c r="D178" s="4" t="s">
        <v>23</v>
      </c>
      <c r="E178" s="4" t="s">
        <v>51</v>
      </c>
      <c r="F178" s="4" t="s">
        <v>28</v>
      </c>
      <c r="G178" s="4" t="s">
        <v>55</v>
      </c>
      <c r="H178" s="4" t="s">
        <v>35</v>
      </c>
    </row>
    <row r="179" spans="1:13" x14ac:dyDescent="0.2">
      <c r="A179">
        <v>27</v>
      </c>
      <c r="B179" t="s">
        <v>63</v>
      </c>
      <c r="C179">
        <v>2</v>
      </c>
      <c r="D179" s="4" t="s">
        <v>28</v>
      </c>
      <c r="E179" s="4" t="s">
        <v>52</v>
      </c>
      <c r="F179" s="4" t="s">
        <v>28</v>
      </c>
      <c r="G179" s="4" t="s">
        <v>58</v>
      </c>
      <c r="H179" s="4" t="s">
        <v>35</v>
      </c>
    </row>
    <row r="180" spans="1:13" x14ac:dyDescent="0.2">
      <c r="A180">
        <v>28</v>
      </c>
      <c r="B180" t="s">
        <v>63</v>
      </c>
      <c r="C180">
        <v>3</v>
      </c>
      <c r="D180" s="4" t="s">
        <v>33</v>
      </c>
      <c r="E180" s="4" t="s">
        <v>53</v>
      </c>
      <c r="F180" s="4" t="s">
        <v>28</v>
      </c>
      <c r="G180" s="4" t="s">
        <v>60</v>
      </c>
      <c r="H180" s="4" t="s">
        <v>35</v>
      </c>
    </row>
    <row r="181" spans="1:13" x14ac:dyDescent="0.2">
      <c r="I181" s="2" t="s">
        <v>69</v>
      </c>
      <c r="J181" s="1">
        <v>1.36</v>
      </c>
      <c r="K181" s="1">
        <v>1.36</v>
      </c>
      <c r="L181" s="1">
        <v>2.59</v>
      </c>
      <c r="M181" s="1">
        <v>2.59</v>
      </c>
    </row>
    <row r="182" spans="1:13" x14ac:dyDescent="0.2">
      <c r="A182">
        <v>1</v>
      </c>
      <c r="B182" t="s">
        <v>22</v>
      </c>
      <c r="C182">
        <v>1</v>
      </c>
      <c r="D182" s="4" t="s">
        <v>23</v>
      </c>
      <c r="E182" s="4" t="s">
        <v>23</v>
      </c>
      <c r="F182" s="4" t="s">
        <v>23</v>
      </c>
      <c r="G182" s="4" t="s">
        <v>24</v>
      </c>
      <c r="H182" s="4" t="s">
        <v>25</v>
      </c>
    </row>
    <row r="183" spans="1:13" x14ac:dyDescent="0.2">
      <c r="A183">
        <v>2</v>
      </c>
      <c r="B183" t="s">
        <v>22</v>
      </c>
      <c r="C183">
        <v>2</v>
      </c>
      <c r="D183" s="4" t="s">
        <v>28</v>
      </c>
      <c r="E183" s="4" t="s">
        <v>28</v>
      </c>
      <c r="F183" s="4" t="s">
        <v>23</v>
      </c>
      <c r="G183" s="4" t="s">
        <v>29</v>
      </c>
      <c r="H183" s="4" t="s">
        <v>30</v>
      </c>
    </row>
    <row r="184" spans="1:13" x14ac:dyDescent="0.2">
      <c r="A184">
        <v>3</v>
      </c>
      <c r="B184" t="s">
        <v>22</v>
      </c>
      <c r="C184">
        <v>3</v>
      </c>
      <c r="D184" s="4" t="s">
        <v>33</v>
      </c>
      <c r="E184" s="4" t="s">
        <v>33</v>
      </c>
      <c r="F184" s="4" t="s">
        <v>23</v>
      </c>
      <c r="G184" s="4" t="s">
        <v>34</v>
      </c>
      <c r="H184" s="4" t="s">
        <v>35</v>
      </c>
    </row>
    <row r="185" spans="1:13" x14ac:dyDescent="0.2">
      <c r="A185">
        <v>4</v>
      </c>
      <c r="B185" t="s">
        <v>38</v>
      </c>
      <c r="C185">
        <v>1</v>
      </c>
      <c r="D185" s="4" t="s">
        <v>23</v>
      </c>
      <c r="E185" s="4" t="s">
        <v>39</v>
      </c>
      <c r="F185" s="4" t="s">
        <v>23</v>
      </c>
      <c r="G185" s="4" t="s">
        <v>24</v>
      </c>
      <c r="H185" s="4" t="s">
        <v>30</v>
      </c>
    </row>
    <row r="186" spans="1:13" x14ac:dyDescent="0.2">
      <c r="A186">
        <v>5</v>
      </c>
      <c r="B186" t="s">
        <v>38</v>
      </c>
      <c r="C186">
        <v>2</v>
      </c>
      <c r="D186" s="4" t="s">
        <v>28</v>
      </c>
      <c r="E186" s="4" t="s">
        <v>40</v>
      </c>
      <c r="F186" s="4" t="s">
        <v>23</v>
      </c>
      <c r="G186" s="4" t="s">
        <v>29</v>
      </c>
      <c r="H186" s="4" t="s">
        <v>25</v>
      </c>
    </row>
    <row r="187" spans="1:13" x14ac:dyDescent="0.2">
      <c r="A187">
        <v>6</v>
      </c>
      <c r="B187" t="s">
        <v>38</v>
      </c>
      <c r="C187">
        <v>3</v>
      </c>
      <c r="D187" s="4" t="s">
        <v>33</v>
      </c>
      <c r="E187" s="4" t="s">
        <v>41</v>
      </c>
      <c r="F187" s="4" t="s">
        <v>23</v>
      </c>
      <c r="G187" s="4" t="s">
        <v>34</v>
      </c>
      <c r="H187" s="4" t="s">
        <v>35</v>
      </c>
    </row>
    <row r="188" spans="1:13" x14ac:dyDescent="0.2">
      <c r="A188">
        <v>7</v>
      </c>
      <c r="B188" t="s">
        <v>42</v>
      </c>
      <c r="C188">
        <v>1</v>
      </c>
      <c r="D188" s="4" t="s">
        <v>23</v>
      </c>
      <c r="E188" s="4" t="s">
        <v>43</v>
      </c>
      <c r="F188" s="4" t="s">
        <v>23</v>
      </c>
      <c r="G188" s="4" t="s">
        <v>24</v>
      </c>
      <c r="H188" s="4" t="s">
        <v>25</v>
      </c>
    </row>
    <row r="189" spans="1:13" x14ac:dyDescent="0.2">
      <c r="A189">
        <v>8</v>
      </c>
      <c r="B189" t="s">
        <v>42</v>
      </c>
      <c r="C189">
        <v>2</v>
      </c>
      <c r="D189" s="4" t="s">
        <v>28</v>
      </c>
      <c r="E189" s="4" t="s">
        <v>44</v>
      </c>
      <c r="F189" s="4" t="s">
        <v>23</v>
      </c>
      <c r="G189" s="4" t="s">
        <v>29</v>
      </c>
      <c r="H189" s="4" t="s">
        <v>30</v>
      </c>
    </row>
    <row r="190" spans="1:13" x14ac:dyDescent="0.2">
      <c r="A190">
        <v>9</v>
      </c>
      <c r="B190" t="s">
        <v>42</v>
      </c>
      <c r="C190">
        <v>3</v>
      </c>
      <c r="D190" s="4" t="s">
        <v>33</v>
      </c>
      <c r="E190" s="4" t="s">
        <v>45</v>
      </c>
      <c r="F190" s="4" t="s">
        <v>23</v>
      </c>
      <c r="G190" s="4" t="s">
        <v>34</v>
      </c>
      <c r="H190" s="4" t="s">
        <v>25</v>
      </c>
    </row>
    <row r="191" spans="1:13" x14ac:dyDescent="0.2">
      <c r="A191">
        <v>10</v>
      </c>
      <c r="B191" t="s">
        <v>46</v>
      </c>
      <c r="C191">
        <v>1</v>
      </c>
      <c r="D191" s="4" t="s">
        <v>23</v>
      </c>
      <c r="E191" s="4" t="s">
        <v>47</v>
      </c>
      <c r="F191" s="4" t="s">
        <v>23</v>
      </c>
      <c r="G191" s="4" t="s">
        <v>24</v>
      </c>
      <c r="H191" s="4" t="s">
        <v>23</v>
      </c>
    </row>
    <row r="192" spans="1:13" x14ac:dyDescent="0.2">
      <c r="A192">
        <v>11</v>
      </c>
      <c r="B192" t="s">
        <v>46</v>
      </c>
      <c r="C192">
        <v>2</v>
      </c>
      <c r="D192" s="4" t="s">
        <v>28</v>
      </c>
      <c r="E192" s="4" t="s">
        <v>48</v>
      </c>
      <c r="F192" s="4" t="s">
        <v>23</v>
      </c>
      <c r="G192" s="4" t="s">
        <v>29</v>
      </c>
      <c r="H192" s="4" t="s">
        <v>35</v>
      </c>
    </row>
    <row r="193" spans="1:15" x14ac:dyDescent="0.2">
      <c r="A193">
        <v>12</v>
      </c>
      <c r="B193" t="s">
        <v>46</v>
      </c>
      <c r="C193">
        <v>3</v>
      </c>
      <c r="D193" s="4" t="s">
        <v>33</v>
      </c>
      <c r="E193" s="4" t="s">
        <v>49</v>
      </c>
      <c r="F193" s="4" t="s">
        <v>23</v>
      </c>
      <c r="G193" s="4" t="s">
        <v>34</v>
      </c>
      <c r="H193" s="4" t="s">
        <v>35</v>
      </c>
    </row>
    <row r="194" spans="1:15" x14ac:dyDescent="0.2">
      <c r="A194">
        <v>13</v>
      </c>
      <c r="B194" t="s">
        <v>50</v>
      </c>
      <c r="C194">
        <v>1</v>
      </c>
      <c r="D194" s="4" t="s">
        <v>23</v>
      </c>
      <c r="E194" s="4" t="s">
        <v>51</v>
      </c>
      <c r="F194" s="4" t="s">
        <v>23</v>
      </c>
      <c r="G194" s="4" t="s">
        <v>24</v>
      </c>
      <c r="H194" s="4" t="s">
        <v>35</v>
      </c>
    </row>
    <row r="195" spans="1:15" x14ac:dyDescent="0.2">
      <c r="A195">
        <v>14</v>
      </c>
      <c r="B195" t="s">
        <v>50</v>
      </c>
      <c r="C195">
        <v>2</v>
      </c>
      <c r="D195" s="4" t="s">
        <v>28</v>
      </c>
      <c r="E195" s="4" t="s">
        <v>52</v>
      </c>
      <c r="F195" s="4" t="s">
        <v>23</v>
      </c>
      <c r="G195" s="4" t="s">
        <v>29</v>
      </c>
      <c r="H195" s="4" t="s">
        <v>35</v>
      </c>
    </row>
    <row r="196" spans="1:15" x14ac:dyDescent="0.2">
      <c r="A196">
        <v>15</v>
      </c>
      <c r="B196" t="s">
        <v>50</v>
      </c>
      <c r="C196">
        <v>3</v>
      </c>
      <c r="D196" s="4" t="s">
        <v>33</v>
      </c>
      <c r="E196" s="4" t="s">
        <v>53</v>
      </c>
      <c r="F196" s="4" t="s">
        <v>23</v>
      </c>
      <c r="G196" s="4" t="s">
        <v>34</v>
      </c>
      <c r="H196" s="4" t="s">
        <v>35</v>
      </c>
    </row>
    <row r="197" spans="1:15" x14ac:dyDescent="0.2">
      <c r="A197">
        <v>16</v>
      </c>
      <c r="B197" t="s">
        <v>54</v>
      </c>
      <c r="C197">
        <v>1</v>
      </c>
      <c r="D197" s="4" t="s">
        <v>23</v>
      </c>
      <c r="E197" s="4" t="s">
        <v>23</v>
      </c>
      <c r="F197" s="4" t="s">
        <v>28</v>
      </c>
      <c r="G197" s="4" t="s">
        <v>55</v>
      </c>
      <c r="H197" s="4" t="s">
        <v>25</v>
      </c>
      <c r="I197" t="s">
        <v>57</v>
      </c>
      <c r="J197">
        <v>0</v>
      </c>
      <c r="K197">
        <v>0</v>
      </c>
      <c r="L197">
        <v>0</v>
      </c>
      <c r="M197">
        <v>0</v>
      </c>
      <c r="N197" t="s">
        <v>56</v>
      </c>
      <c r="O197" t="s">
        <v>56</v>
      </c>
    </row>
    <row r="198" spans="1:15" x14ac:dyDescent="0.2">
      <c r="A198">
        <v>17</v>
      </c>
      <c r="B198" t="s">
        <v>54</v>
      </c>
      <c r="C198">
        <v>2</v>
      </c>
      <c r="D198" s="4" t="s">
        <v>28</v>
      </c>
      <c r="E198" s="4" t="s">
        <v>28</v>
      </c>
      <c r="F198" s="4" t="s">
        <v>28</v>
      </c>
      <c r="G198" s="4" t="s">
        <v>58</v>
      </c>
      <c r="H198" s="4" t="s">
        <v>30</v>
      </c>
      <c r="I198" t="s">
        <v>57</v>
      </c>
      <c r="J198">
        <v>8</v>
      </c>
      <c r="K198">
        <v>8</v>
      </c>
      <c r="L198">
        <v>14.11</v>
      </c>
      <c r="M198">
        <v>14.11</v>
      </c>
      <c r="N198">
        <v>3.04</v>
      </c>
      <c r="O198">
        <v>10.01</v>
      </c>
    </row>
    <row r="199" spans="1:15" x14ac:dyDescent="0.2">
      <c r="A199">
        <v>18</v>
      </c>
      <c r="B199" t="s">
        <v>59</v>
      </c>
      <c r="C199">
        <v>1</v>
      </c>
      <c r="D199" s="4" t="s">
        <v>23</v>
      </c>
      <c r="E199" s="4" t="s">
        <v>39</v>
      </c>
      <c r="F199" s="4" t="s">
        <v>28</v>
      </c>
      <c r="G199" s="4" t="s">
        <v>55</v>
      </c>
      <c r="H199" s="4" t="s">
        <v>30</v>
      </c>
      <c r="I199" t="s">
        <v>57</v>
      </c>
      <c r="J199">
        <v>10</v>
      </c>
      <c r="K199">
        <v>10</v>
      </c>
      <c r="L199">
        <v>17.38</v>
      </c>
      <c r="M199">
        <v>17.38</v>
      </c>
      <c r="N199">
        <v>3.57</v>
      </c>
      <c r="O199">
        <v>8.7799999999999994</v>
      </c>
    </row>
    <row r="200" spans="1:15" x14ac:dyDescent="0.2">
      <c r="A200">
        <v>19</v>
      </c>
      <c r="B200" t="s">
        <v>59</v>
      </c>
      <c r="C200">
        <v>2</v>
      </c>
      <c r="D200" s="4" t="s">
        <v>28</v>
      </c>
      <c r="E200" s="4" t="s">
        <v>40</v>
      </c>
      <c r="F200" s="4" t="s">
        <v>28</v>
      </c>
      <c r="G200" s="4" t="s">
        <v>58</v>
      </c>
      <c r="H200" s="4" t="s">
        <v>25</v>
      </c>
      <c r="I200" t="s">
        <v>57</v>
      </c>
      <c r="J200">
        <v>6</v>
      </c>
      <c r="K200">
        <v>6</v>
      </c>
      <c r="L200">
        <v>10.61</v>
      </c>
      <c r="M200">
        <v>10.61</v>
      </c>
      <c r="N200">
        <v>6.57</v>
      </c>
      <c r="O200">
        <v>12.11</v>
      </c>
    </row>
    <row r="201" spans="1:15" x14ac:dyDescent="0.2">
      <c r="A201">
        <v>20</v>
      </c>
      <c r="B201" t="s">
        <v>59</v>
      </c>
      <c r="C201">
        <v>3</v>
      </c>
      <c r="D201" s="4" t="s">
        <v>33</v>
      </c>
      <c r="E201" s="4" t="s">
        <v>41</v>
      </c>
      <c r="F201" s="4" t="s">
        <v>28</v>
      </c>
      <c r="G201" s="4" t="s">
        <v>60</v>
      </c>
      <c r="H201" s="4" t="s">
        <v>35</v>
      </c>
      <c r="I201" t="s">
        <v>57</v>
      </c>
      <c r="J201">
        <v>12</v>
      </c>
      <c r="K201">
        <v>12</v>
      </c>
      <c r="L201">
        <v>14.31</v>
      </c>
      <c r="M201">
        <v>14.31</v>
      </c>
      <c r="N201">
        <v>40.31</v>
      </c>
      <c r="O201">
        <v>50.02</v>
      </c>
    </row>
    <row r="202" spans="1:15" x14ac:dyDescent="0.2">
      <c r="A202">
        <v>21</v>
      </c>
      <c r="B202" t="s">
        <v>61</v>
      </c>
      <c r="C202">
        <v>1</v>
      </c>
      <c r="D202" s="4" t="s">
        <v>23</v>
      </c>
      <c r="E202" s="4" t="s">
        <v>43</v>
      </c>
      <c r="F202" s="4" t="s">
        <v>28</v>
      </c>
      <c r="G202" s="4" t="s">
        <v>55</v>
      </c>
      <c r="H202" s="4" t="s">
        <v>25</v>
      </c>
      <c r="I202" t="s">
        <v>57</v>
      </c>
      <c r="J202">
        <v>10</v>
      </c>
      <c r="K202">
        <v>10</v>
      </c>
      <c r="L202">
        <v>16.850000000000001</v>
      </c>
      <c r="M202">
        <v>16.850000000000001</v>
      </c>
      <c r="N202">
        <v>4.24</v>
      </c>
      <c r="O202">
        <v>8.68</v>
      </c>
    </row>
    <row r="203" spans="1:15" x14ac:dyDescent="0.2">
      <c r="A203">
        <v>22</v>
      </c>
      <c r="B203" t="s">
        <v>61</v>
      </c>
      <c r="C203">
        <v>2</v>
      </c>
      <c r="D203" s="4" t="s">
        <v>28</v>
      </c>
      <c r="E203" s="4" t="s">
        <v>44</v>
      </c>
      <c r="F203" s="4" t="s">
        <v>28</v>
      </c>
      <c r="G203" s="4" t="s">
        <v>58</v>
      </c>
      <c r="H203" s="4" t="s">
        <v>30</v>
      </c>
      <c r="I203" t="s">
        <v>57</v>
      </c>
      <c r="J203">
        <v>7</v>
      </c>
      <c r="K203">
        <v>7</v>
      </c>
      <c r="L203">
        <v>12.31</v>
      </c>
      <c r="M203">
        <v>12.31</v>
      </c>
      <c r="N203">
        <v>17.420000000000002</v>
      </c>
      <c r="O203">
        <v>19.12</v>
      </c>
    </row>
    <row r="204" spans="1:15" x14ac:dyDescent="0.2">
      <c r="A204">
        <v>23</v>
      </c>
      <c r="B204" t="s">
        <v>61</v>
      </c>
      <c r="C204">
        <v>3</v>
      </c>
      <c r="D204" s="4" t="s">
        <v>33</v>
      </c>
      <c r="E204" s="4" t="s">
        <v>45</v>
      </c>
      <c r="F204" s="4" t="s">
        <v>28</v>
      </c>
      <c r="G204" s="4" t="s">
        <v>60</v>
      </c>
      <c r="H204" s="4" t="s">
        <v>25</v>
      </c>
      <c r="I204" t="s">
        <v>57</v>
      </c>
      <c r="J204">
        <v>13</v>
      </c>
      <c r="K204">
        <v>13</v>
      </c>
      <c r="L204">
        <v>21.99</v>
      </c>
      <c r="M204">
        <v>21.99</v>
      </c>
      <c r="N204">
        <v>16.55</v>
      </c>
      <c r="O204">
        <v>30.6</v>
      </c>
    </row>
    <row r="205" spans="1:15" x14ac:dyDescent="0.2">
      <c r="A205">
        <v>24</v>
      </c>
      <c r="B205" t="s">
        <v>62</v>
      </c>
      <c r="C205">
        <v>1</v>
      </c>
      <c r="D205" s="4" t="s">
        <v>23</v>
      </c>
      <c r="E205" s="4" t="s">
        <v>47</v>
      </c>
      <c r="F205" s="4" t="s">
        <v>28</v>
      </c>
      <c r="G205" s="4" t="s">
        <v>55</v>
      </c>
      <c r="H205" s="4" t="s">
        <v>23</v>
      </c>
      <c r="I205" t="s">
        <v>57</v>
      </c>
      <c r="J205">
        <v>11</v>
      </c>
      <c r="K205">
        <v>11</v>
      </c>
      <c r="L205">
        <v>15.75</v>
      </c>
      <c r="M205">
        <v>15.75</v>
      </c>
      <c r="N205">
        <v>12.05</v>
      </c>
      <c r="O205">
        <v>16.850000000000001</v>
      </c>
    </row>
    <row r="206" spans="1:15" x14ac:dyDescent="0.2">
      <c r="A206">
        <v>25</v>
      </c>
      <c r="B206" t="s">
        <v>62</v>
      </c>
      <c r="C206">
        <v>2</v>
      </c>
      <c r="D206" s="4" t="s">
        <v>28</v>
      </c>
      <c r="E206" s="4" t="s">
        <v>48</v>
      </c>
      <c r="F206" s="4" t="s">
        <v>28</v>
      </c>
      <c r="G206" s="4" t="s">
        <v>58</v>
      </c>
      <c r="H206" s="4" t="s">
        <v>35</v>
      </c>
      <c r="I206" t="s">
        <v>57</v>
      </c>
      <c r="J206">
        <v>26</v>
      </c>
      <c r="K206">
        <v>26</v>
      </c>
      <c r="L206">
        <v>42.04</v>
      </c>
      <c r="M206">
        <v>42.04</v>
      </c>
      <c r="N206">
        <v>25.53</v>
      </c>
      <c r="O206">
        <v>33.299999999999997</v>
      </c>
    </row>
    <row r="207" spans="1:15" x14ac:dyDescent="0.2">
      <c r="A207">
        <v>26</v>
      </c>
      <c r="B207" t="s">
        <v>63</v>
      </c>
      <c r="C207">
        <v>1</v>
      </c>
      <c r="D207" s="4" t="s">
        <v>23</v>
      </c>
      <c r="E207" s="4" t="s">
        <v>51</v>
      </c>
      <c r="F207" s="4" t="s">
        <v>28</v>
      </c>
      <c r="G207" s="4" t="s">
        <v>55</v>
      </c>
      <c r="H207" s="4" t="s">
        <v>35</v>
      </c>
      <c r="I207" t="s">
        <v>57</v>
      </c>
      <c r="J207">
        <v>10</v>
      </c>
      <c r="K207">
        <v>10</v>
      </c>
      <c r="L207">
        <v>13.78</v>
      </c>
      <c r="M207">
        <v>13.78</v>
      </c>
      <c r="N207">
        <v>17.02</v>
      </c>
      <c r="O207">
        <v>24.86</v>
      </c>
    </row>
    <row r="208" spans="1:15" x14ac:dyDescent="0.2">
      <c r="A208">
        <v>27</v>
      </c>
      <c r="B208" t="s">
        <v>63</v>
      </c>
      <c r="C208">
        <v>2</v>
      </c>
      <c r="D208" s="4" t="s">
        <v>28</v>
      </c>
      <c r="E208" s="4" t="s">
        <v>52</v>
      </c>
      <c r="F208" s="4" t="s">
        <v>28</v>
      </c>
      <c r="G208" s="4" t="s">
        <v>58</v>
      </c>
      <c r="H208" s="4" t="s">
        <v>35</v>
      </c>
      <c r="I208" t="s">
        <v>57</v>
      </c>
      <c r="J208">
        <v>9</v>
      </c>
      <c r="K208">
        <v>9</v>
      </c>
      <c r="L208">
        <v>12.21</v>
      </c>
      <c r="M208">
        <v>12.21</v>
      </c>
      <c r="N208">
        <v>6.47</v>
      </c>
      <c r="O208">
        <v>14.55</v>
      </c>
    </row>
    <row r="209" spans="1:15" x14ac:dyDescent="0.2">
      <c r="A209">
        <v>28</v>
      </c>
      <c r="B209" t="s">
        <v>63</v>
      </c>
      <c r="C209">
        <v>3</v>
      </c>
      <c r="D209" s="4" t="s">
        <v>33</v>
      </c>
      <c r="E209" s="4" t="s">
        <v>53</v>
      </c>
      <c r="F209" s="4" t="s">
        <v>28</v>
      </c>
      <c r="G209" s="4" t="s">
        <v>60</v>
      </c>
      <c r="H209" s="4" t="s">
        <v>35</v>
      </c>
      <c r="I209" t="s">
        <v>57</v>
      </c>
      <c r="J209">
        <v>4</v>
      </c>
      <c r="K209">
        <v>4</v>
      </c>
      <c r="L209">
        <v>10.41</v>
      </c>
      <c r="M209">
        <v>10.41</v>
      </c>
      <c r="N209">
        <v>246.68</v>
      </c>
      <c r="O209">
        <v>261.33</v>
      </c>
    </row>
    <row r="210" spans="1:15" x14ac:dyDescent="0.2">
      <c r="I210" s="2" t="s">
        <v>70</v>
      </c>
      <c r="J210" s="1">
        <v>4.5</v>
      </c>
      <c r="K210" s="1">
        <v>4.5</v>
      </c>
      <c r="L210" s="1">
        <v>7.21</v>
      </c>
      <c r="M210" s="1">
        <v>7.21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baseColWidth="10" defaultColWidth="8.83203125" defaultRowHeight="15" x14ac:dyDescent="0.2"/>
  <cols>
    <col min="1" max="1" width="60.83203125" bestFit="1" customWidth="1"/>
    <col min="2" max="2" width="7.83203125" bestFit="1" customWidth="1"/>
    <col min="3" max="3" width="10.83203125" bestFit="1" customWidth="1"/>
    <col min="4" max="4" width="18.33203125" bestFit="1" customWidth="1"/>
    <col min="5" max="5" width="21.83203125" bestFit="1" customWidth="1"/>
    <col min="6" max="6" width="15.6640625" customWidth="1"/>
    <col min="7" max="7" width="31.33203125" bestFit="1" customWidth="1"/>
  </cols>
  <sheetData>
    <row r="1" spans="1:7" x14ac:dyDescent="0.2">
      <c r="A1" s="2" t="s">
        <v>71</v>
      </c>
    </row>
    <row r="3" spans="1:7" x14ac:dyDescent="0.2">
      <c r="A3" s="3" t="s">
        <v>13</v>
      </c>
      <c r="B3" s="3" t="s">
        <v>14</v>
      </c>
      <c r="C3" s="3" t="s">
        <v>15</v>
      </c>
      <c r="D3" s="5" t="s">
        <v>16</v>
      </c>
      <c r="E3" s="5" t="s">
        <v>17</v>
      </c>
      <c r="F3" s="5" t="s">
        <v>18</v>
      </c>
      <c r="G3" s="5" t="s">
        <v>19</v>
      </c>
    </row>
    <row r="4" spans="1:7" x14ac:dyDescent="0.2">
      <c r="A4" t="s">
        <v>64</v>
      </c>
      <c r="B4">
        <v>2.0699999999999998</v>
      </c>
      <c r="C4">
        <v>2.0699999999999998</v>
      </c>
      <c r="D4">
        <v>3.58</v>
      </c>
      <c r="E4">
        <v>3.58</v>
      </c>
    </row>
    <row r="5" spans="1:7" x14ac:dyDescent="0.2">
      <c r="A5" t="s">
        <v>65</v>
      </c>
      <c r="B5">
        <v>1.46</v>
      </c>
      <c r="C5">
        <v>1.46</v>
      </c>
      <c r="D5">
        <v>2.0299999999999998</v>
      </c>
      <c r="E5">
        <v>2.0299999999999998</v>
      </c>
    </row>
    <row r="6" spans="1:7" x14ac:dyDescent="0.2">
      <c r="A6" t="s">
        <v>66</v>
      </c>
      <c r="B6">
        <v>3.64</v>
      </c>
      <c r="C6">
        <v>3.64</v>
      </c>
      <c r="D6">
        <v>5.5</v>
      </c>
      <c r="E6">
        <v>5.5</v>
      </c>
    </row>
    <row r="7" spans="1:7" x14ac:dyDescent="0.2">
      <c r="A7" t="s">
        <v>67</v>
      </c>
      <c r="B7">
        <v>1.32</v>
      </c>
      <c r="C7">
        <v>1.32</v>
      </c>
      <c r="D7">
        <v>1.85</v>
      </c>
      <c r="E7">
        <v>1.85</v>
      </c>
    </row>
    <row r="8" spans="1:7" x14ac:dyDescent="0.2">
      <c r="A8" t="s">
        <v>68</v>
      </c>
      <c r="B8">
        <v>2.39</v>
      </c>
      <c r="C8">
        <v>2.39</v>
      </c>
      <c r="D8">
        <v>4.3600000000000003</v>
      </c>
      <c r="E8">
        <v>4.3600000000000003</v>
      </c>
    </row>
    <row r="9" spans="1:7" x14ac:dyDescent="0.2">
      <c r="A9" t="s">
        <v>69</v>
      </c>
      <c r="B9">
        <v>1.36</v>
      </c>
      <c r="C9">
        <v>1.36</v>
      </c>
      <c r="D9">
        <v>2.59</v>
      </c>
      <c r="E9">
        <v>2.59</v>
      </c>
    </row>
    <row r="10" spans="1:7" x14ac:dyDescent="0.2">
      <c r="A10" t="s">
        <v>70</v>
      </c>
      <c r="B10">
        <v>4.5</v>
      </c>
      <c r="C10">
        <v>4.5</v>
      </c>
      <c r="D10">
        <v>7.21</v>
      </c>
      <c r="E10">
        <v>7.21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10.6640625" customWidth="1"/>
    <col min="3" max="3" width="5.6640625" customWidth="1"/>
    <col min="4" max="4" width="3.6640625" customWidth="1"/>
    <col min="5" max="5" width="6.6640625" customWidth="1"/>
    <col min="6" max="6" width="3.6640625" customWidth="1"/>
    <col min="7" max="7" width="7.6640625" customWidth="1"/>
    <col min="8" max="8" width="4.6640625" customWidth="1"/>
    <col min="9" max="9" width="7.6640625" customWidth="1"/>
  </cols>
  <sheetData>
    <row r="1" spans="1:9" x14ac:dyDescent="0.2">
      <c r="A1" s="2" t="s">
        <v>20</v>
      </c>
    </row>
    <row r="3" spans="1:9" x14ac:dyDescent="0.2">
      <c r="A3" t="s">
        <v>1</v>
      </c>
      <c r="B3">
        <v>28</v>
      </c>
    </row>
    <row r="5" spans="1:9" x14ac:dyDescent="0.2">
      <c r="A5" s="3" t="s">
        <v>2</v>
      </c>
      <c r="B5" t="s">
        <v>3</v>
      </c>
    </row>
    <row r="7" spans="1:9" x14ac:dyDescent="0.2">
      <c r="A7" s="3" t="s">
        <v>5</v>
      </c>
      <c r="B7" s="3" t="s">
        <v>6</v>
      </c>
      <c r="C7" s="3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3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6D10C-8896-0743-93EF-1ACC3DBB838C}">
  <dimension ref="A1:AE49"/>
  <sheetViews>
    <sheetView tabSelected="1" topLeftCell="A6" workbookViewId="0">
      <selection activeCell="Y9" sqref="Y9:Y23"/>
    </sheetView>
  </sheetViews>
  <sheetFormatPr baseColWidth="10" defaultColWidth="8.83203125" defaultRowHeight="15" x14ac:dyDescent="0.2"/>
  <cols>
    <col min="1" max="1" width="8.6640625" style="7" customWidth="1"/>
    <col min="2" max="2" width="16.1640625" style="7" bestFit="1" customWidth="1"/>
    <col min="3" max="3" width="8.33203125" style="7" bestFit="1" customWidth="1"/>
    <col min="4" max="4" width="8.5" style="7" bestFit="1" customWidth="1"/>
    <col min="5" max="5" width="7.83203125" style="7" bestFit="1" customWidth="1"/>
    <col min="6" max="6" width="10.83203125" style="7" bestFit="1" customWidth="1"/>
    <col min="7" max="16" width="9.6640625" style="7" customWidth="1"/>
    <col min="17" max="17" width="6.33203125" style="7" bestFit="1" customWidth="1"/>
    <col min="18" max="22" width="8.83203125" style="7"/>
    <col min="23" max="26" width="9.6640625" style="7" customWidth="1"/>
    <col min="27" max="16384" width="8.83203125" style="7"/>
  </cols>
  <sheetData>
    <row r="1" spans="1:31" x14ac:dyDescent="0.2">
      <c r="A1" s="6"/>
    </row>
    <row r="5" spans="1:31" x14ac:dyDescent="0.2">
      <c r="A5" s="8"/>
      <c r="C5" s="7">
        <v>1</v>
      </c>
    </row>
    <row r="6" spans="1:31" x14ac:dyDescent="0.2">
      <c r="D6" s="22" t="s">
        <v>74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R6" s="22" t="s">
        <v>74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1" x14ac:dyDescent="0.2">
      <c r="A7" s="8"/>
      <c r="B7" s="8"/>
      <c r="C7" s="9" t="s">
        <v>9</v>
      </c>
      <c r="D7" s="9" t="s">
        <v>11</v>
      </c>
      <c r="E7" s="20" t="s">
        <v>14</v>
      </c>
      <c r="F7" s="20"/>
      <c r="G7" s="21" t="s">
        <v>16</v>
      </c>
      <c r="H7" s="21"/>
      <c r="I7" s="16" t="s">
        <v>75</v>
      </c>
      <c r="J7" s="16" t="s">
        <v>76</v>
      </c>
      <c r="K7" s="14" t="s">
        <v>77</v>
      </c>
      <c r="L7" s="15" t="s">
        <v>78</v>
      </c>
      <c r="M7" s="20" t="s">
        <v>72</v>
      </c>
      <c r="N7" s="20"/>
      <c r="O7" s="20" t="s">
        <v>73</v>
      </c>
      <c r="P7" s="20"/>
      <c r="Q7" s="9" t="s">
        <v>12</v>
      </c>
      <c r="R7" s="9" t="s">
        <v>11</v>
      </c>
      <c r="S7" s="20" t="s">
        <v>14</v>
      </c>
      <c r="T7" s="20"/>
      <c r="U7" s="21" t="s">
        <v>16</v>
      </c>
      <c r="V7" s="21"/>
      <c r="W7" s="16" t="s">
        <v>75</v>
      </c>
      <c r="X7" s="16" t="s">
        <v>76</v>
      </c>
      <c r="Y7" s="14" t="s">
        <v>77</v>
      </c>
      <c r="Z7" s="15" t="s">
        <v>78</v>
      </c>
      <c r="AA7" s="20" t="s">
        <v>72</v>
      </c>
      <c r="AB7" s="20"/>
      <c r="AC7" s="20" t="s">
        <v>73</v>
      </c>
      <c r="AD7" s="20"/>
    </row>
    <row r="8" spans="1:31" x14ac:dyDescent="0.2">
      <c r="A8" s="8"/>
      <c r="B8" s="8"/>
      <c r="C8" s="9"/>
      <c r="D8" s="9"/>
      <c r="E8" s="8"/>
      <c r="F8" s="8"/>
      <c r="G8" s="12"/>
      <c r="H8" s="12"/>
      <c r="I8" s="16"/>
      <c r="J8" s="16"/>
      <c r="K8" s="14"/>
      <c r="L8" s="15"/>
      <c r="M8" s="8"/>
      <c r="N8" s="8"/>
      <c r="O8" s="8"/>
      <c r="Q8" s="9"/>
      <c r="U8" s="13"/>
      <c r="V8" s="13"/>
      <c r="W8" s="16"/>
      <c r="X8" s="16"/>
      <c r="Y8" s="14"/>
      <c r="Z8" s="15"/>
    </row>
    <row r="9" spans="1:31" x14ac:dyDescent="0.2">
      <c r="C9" s="7">
        <v>7</v>
      </c>
      <c r="D9" s="10" t="s">
        <v>34</v>
      </c>
      <c r="E9" s="7">
        <v>4</v>
      </c>
      <c r="F9" s="7">
        <v>4</v>
      </c>
      <c r="G9" s="13">
        <v>5.44</v>
      </c>
      <c r="H9" s="13">
        <v>5.87</v>
      </c>
      <c r="I9" s="17">
        <f>(G9*100)/(G9+H9)</f>
        <v>48.099027409372233</v>
      </c>
      <c r="J9" s="17">
        <f>(H9*100)/(H9+G9)</f>
        <v>51.900972590627759</v>
      </c>
      <c r="K9" s="18">
        <f>(H9-G9)/(G9+H9)</f>
        <v>3.8019451812555234E-2</v>
      </c>
      <c r="L9" s="19">
        <f>G9+H9</f>
        <v>11.31</v>
      </c>
      <c r="M9" s="7">
        <v>11.58</v>
      </c>
      <c r="N9" s="7">
        <v>3.87</v>
      </c>
      <c r="O9" s="7">
        <v>19.850000000000001</v>
      </c>
      <c r="P9" s="7">
        <v>11.14</v>
      </c>
      <c r="Q9" s="10" t="s">
        <v>35</v>
      </c>
      <c r="R9" s="10" t="s">
        <v>60</v>
      </c>
      <c r="S9" s="7">
        <v>8</v>
      </c>
      <c r="T9" s="7">
        <v>12</v>
      </c>
      <c r="U9" s="13">
        <v>16.72</v>
      </c>
      <c r="V9" s="13">
        <v>14.31</v>
      </c>
      <c r="W9" s="17">
        <f>(U9*100)/(U9+V9)</f>
        <v>53.883338704479534</v>
      </c>
      <c r="X9" s="17">
        <f>(V9*100)/(V9+U9)</f>
        <v>46.116661295520466</v>
      </c>
      <c r="Y9" s="18">
        <f>(V9-U9)/(U9+V9)</f>
        <v>-7.7666774089590662E-2</v>
      </c>
      <c r="Z9" s="19">
        <f>U9+V9</f>
        <v>31.03</v>
      </c>
      <c r="AA9" s="7">
        <v>18.18</v>
      </c>
      <c r="AB9" s="7">
        <v>40.31</v>
      </c>
      <c r="AC9" s="7">
        <v>29.06</v>
      </c>
      <c r="AD9" s="7">
        <v>50.02</v>
      </c>
      <c r="AE9" s="10"/>
    </row>
    <row r="10" spans="1:31" x14ac:dyDescent="0.2">
      <c r="C10" s="7">
        <v>13</v>
      </c>
      <c r="D10" s="10" t="s">
        <v>29</v>
      </c>
      <c r="E10" s="7">
        <v>17</v>
      </c>
      <c r="F10" s="7">
        <v>10</v>
      </c>
      <c r="G10" s="13">
        <v>24.22</v>
      </c>
      <c r="H10" s="13">
        <v>17.38</v>
      </c>
      <c r="I10" s="17">
        <f>(G10*100)/(G10+H10)</f>
        <v>58.221153846153854</v>
      </c>
      <c r="J10" s="17">
        <f>(H10*100)/(H10+G10)</f>
        <v>41.77884615384616</v>
      </c>
      <c r="K10" s="18">
        <f>(H10-G10)/(G10+H10)</f>
        <v>-0.16442307692307695</v>
      </c>
      <c r="L10" s="19">
        <f>G10+H10</f>
        <v>41.599999999999994</v>
      </c>
      <c r="M10" s="7">
        <v>32.1</v>
      </c>
      <c r="N10" s="7">
        <v>11.58</v>
      </c>
      <c r="O10" s="7">
        <v>32.43</v>
      </c>
      <c r="P10" s="7">
        <v>14.58</v>
      </c>
      <c r="Q10" s="10" t="s">
        <v>35</v>
      </c>
      <c r="R10" s="10" t="s">
        <v>58</v>
      </c>
      <c r="S10" s="7">
        <v>18</v>
      </c>
      <c r="T10" s="7">
        <v>26</v>
      </c>
      <c r="U10" s="13">
        <v>30.1</v>
      </c>
      <c r="V10" s="13">
        <v>42.04</v>
      </c>
      <c r="W10" s="17">
        <f>(U10*100)/(U10+V10)</f>
        <v>41.724424729692267</v>
      </c>
      <c r="X10" s="17">
        <f>(V10*100)/(V10+U10)</f>
        <v>58.275575270307733</v>
      </c>
      <c r="Y10" s="18">
        <f>(V10-U10)/(U10+V10)</f>
        <v>0.16551150540615467</v>
      </c>
      <c r="Z10" s="19">
        <f>U10+V10</f>
        <v>72.14</v>
      </c>
      <c r="AA10" s="7">
        <v>4.8</v>
      </c>
      <c r="AB10" s="7">
        <v>25.53</v>
      </c>
      <c r="AC10" s="7">
        <v>9.7799999999999994</v>
      </c>
      <c r="AD10" s="7">
        <v>33.299999999999997</v>
      </c>
      <c r="AE10" s="10"/>
    </row>
    <row r="11" spans="1:31" x14ac:dyDescent="0.2">
      <c r="C11" s="7">
        <v>17</v>
      </c>
      <c r="D11" s="10" t="s">
        <v>24</v>
      </c>
      <c r="E11" s="7">
        <v>12</v>
      </c>
      <c r="F11" s="7">
        <v>19</v>
      </c>
      <c r="G11" s="13">
        <v>17.02</v>
      </c>
      <c r="H11" s="13">
        <v>19.190000000000001</v>
      </c>
      <c r="I11" s="17">
        <f>(G11*100)/(G11+H11)</f>
        <v>47.003590168461749</v>
      </c>
      <c r="J11" s="17">
        <f>(H11*100)/(H11+G11)</f>
        <v>52.996409831538251</v>
      </c>
      <c r="K11" s="18">
        <f>(H11-G11)/(G11+H11)</f>
        <v>5.9928196630765027E-2</v>
      </c>
      <c r="L11" s="19">
        <f>G11+H11</f>
        <v>36.21</v>
      </c>
      <c r="M11" s="7">
        <v>8.31</v>
      </c>
      <c r="N11" s="7">
        <v>23.16</v>
      </c>
      <c r="O11" s="7">
        <v>11.31</v>
      </c>
      <c r="P11" s="7">
        <v>25.13</v>
      </c>
      <c r="Q11" s="10" t="s">
        <v>35</v>
      </c>
      <c r="R11" s="10" t="s">
        <v>55</v>
      </c>
      <c r="S11" s="7">
        <v>3</v>
      </c>
      <c r="T11" s="7">
        <v>10</v>
      </c>
      <c r="U11" s="13">
        <v>5.84</v>
      </c>
      <c r="V11" s="13">
        <v>13.78</v>
      </c>
      <c r="W11" s="17">
        <f>(U11*100)/(U11+V11)</f>
        <v>29.765545361875642</v>
      </c>
      <c r="X11" s="17">
        <f>(V11*100)/(V11+U11)</f>
        <v>70.234454638124376</v>
      </c>
      <c r="Y11" s="18">
        <f>(V11-U11)/(U11+V11)</f>
        <v>0.40468909276248727</v>
      </c>
      <c r="Z11" s="19">
        <f>U11+V11</f>
        <v>19.619999999999997</v>
      </c>
      <c r="AA11" s="7">
        <v>3.1</v>
      </c>
      <c r="AB11" s="7">
        <v>17.02</v>
      </c>
      <c r="AC11" s="7">
        <v>9.08</v>
      </c>
      <c r="AD11" s="7">
        <v>24.86</v>
      </c>
      <c r="AE11" s="10"/>
    </row>
    <row r="12" spans="1:31" x14ac:dyDescent="0.2">
      <c r="C12" s="7">
        <v>18</v>
      </c>
      <c r="D12" s="10" t="s">
        <v>29</v>
      </c>
      <c r="E12" s="7">
        <v>20</v>
      </c>
      <c r="F12" s="7">
        <v>13</v>
      </c>
      <c r="G12" s="13">
        <v>24.76</v>
      </c>
      <c r="H12" s="13">
        <v>14.68</v>
      </c>
      <c r="I12" s="17">
        <f>(G12*100)/(G12+H12)</f>
        <v>62.778904665314407</v>
      </c>
      <c r="J12" s="17">
        <f>(H12*100)/(H12+G12)</f>
        <v>37.2210953346856</v>
      </c>
      <c r="K12" s="18">
        <f>(H12-G12)/(G12+H12)</f>
        <v>-0.25557809330628811</v>
      </c>
      <c r="L12" s="19">
        <f>G12+H12</f>
        <v>39.44</v>
      </c>
      <c r="M12" s="7">
        <v>12.71</v>
      </c>
      <c r="N12" s="7">
        <v>29.7</v>
      </c>
      <c r="O12" s="7">
        <v>14.08</v>
      </c>
      <c r="P12" s="7">
        <v>31.16</v>
      </c>
      <c r="Q12" s="10" t="s">
        <v>35</v>
      </c>
      <c r="R12" s="10" t="s">
        <v>58</v>
      </c>
      <c r="S12" s="7">
        <v>6</v>
      </c>
      <c r="T12" s="7">
        <v>9</v>
      </c>
      <c r="U12" s="13">
        <v>5.04</v>
      </c>
      <c r="V12" s="13">
        <v>12.21</v>
      </c>
      <c r="W12" s="17">
        <f>(U12*100)/(U12+V12)</f>
        <v>29.217391304347824</v>
      </c>
      <c r="X12" s="17">
        <f>(V12*100)/(V12+U12)</f>
        <v>70.782608695652172</v>
      </c>
      <c r="Y12" s="18">
        <f>(V12-U12)/(U12+V12)</f>
        <v>0.41565217391304354</v>
      </c>
      <c r="Z12" s="19">
        <f>U12+V12</f>
        <v>17.25</v>
      </c>
      <c r="AA12" s="7">
        <v>32.270000000000003</v>
      </c>
      <c r="AB12" s="7">
        <v>6.47</v>
      </c>
      <c r="AC12" s="7">
        <v>38.94</v>
      </c>
      <c r="AD12" s="7">
        <v>14.55</v>
      </c>
      <c r="AE12" s="10"/>
    </row>
    <row r="13" spans="1:31" x14ac:dyDescent="0.2">
      <c r="C13" s="7">
        <v>19</v>
      </c>
      <c r="D13" s="10" t="s">
        <v>34</v>
      </c>
      <c r="E13" s="7">
        <v>12</v>
      </c>
      <c r="F13" s="7">
        <v>16</v>
      </c>
      <c r="G13" s="13">
        <v>17.12</v>
      </c>
      <c r="H13" s="13">
        <v>30</v>
      </c>
      <c r="I13" s="17">
        <f>(G13*100)/(G13+H13)</f>
        <v>36.332767402376909</v>
      </c>
      <c r="J13" s="17">
        <f>(H13*100)/(H13+G13)</f>
        <v>63.667232597623084</v>
      </c>
      <c r="K13" s="18">
        <f>(H13-G13)/(G13+H13)</f>
        <v>0.27334465195246177</v>
      </c>
      <c r="L13" s="19">
        <f>G13+H13</f>
        <v>47.120000000000005</v>
      </c>
      <c r="M13" s="7">
        <v>5.37</v>
      </c>
      <c r="N13" s="7">
        <v>13.31</v>
      </c>
      <c r="O13" s="7">
        <v>12.35</v>
      </c>
      <c r="P13" s="7">
        <v>23.96</v>
      </c>
      <c r="Q13" s="10" t="s">
        <v>35</v>
      </c>
      <c r="R13" s="10" t="s">
        <v>60</v>
      </c>
      <c r="S13" s="7">
        <v>4</v>
      </c>
      <c r="T13" s="7">
        <v>4</v>
      </c>
      <c r="U13" s="13">
        <v>5.27</v>
      </c>
      <c r="V13" s="13">
        <v>10.41</v>
      </c>
      <c r="W13" s="17">
        <f>(U13*100)/(U13+V13)</f>
        <v>33.609693877551024</v>
      </c>
      <c r="X13" s="17">
        <f>(V13*100)/(V13+U13)</f>
        <v>66.390306122448976</v>
      </c>
      <c r="Y13" s="18">
        <f>(V13-U13)/(U13+V13)</f>
        <v>0.32780612244897961</v>
      </c>
      <c r="Z13" s="19">
        <f>U13+V13</f>
        <v>15.68</v>
      </c>
      <c r="AA13" s="7">
        <v>267.93</v>
      </c>
      <c r="AB13" s="7">
        <v>246.68</v>
      </c>
      <c r="AC13" s="7">
        <v>280.18</v>
      </c>
      <c r="AD13" s="7">
        <v>261.33</v>
      </c>
      <c r="AE13" s="10"/>
    </row>
    <row r="14" spans="1:31" x14ac:dyDescent="0.2">
      <c r="D14" s="10"/>
      <c r="G14" s="13"/>
      <c r="H14" s="13"/>
      <c r="I14" s="17"/>
      <c r="J14" s="17"/>
      <c r="K14" s="18"/>
      <c r="L14" s="19"/>
      <c r="Q14" s="10"/>
      <c r="R14" s="10"/>
      <c r="U14" s="13"/>
      <c r="V14" s="13"/>
      <c r="W14" s="17"/>
      <c r="X14" s="17"/>
      <c r="Y14" s="18"/>
      <c r="Z14" s="19"/>
      <c r="AE14" s="10"/>
    </row>
    <row r="15" spans="1:31" x14ac:dyDescent="0.2">
      <c r="C15" s="7">
        <v>6</v>
      </c>
      <c r="D15" s="10" t="s">
        <v>29</v>
      </c>
      <c r="E15" s="7">
        <v>4</v>
      </c>
      <c r="F15" s="7">
        <v>3</v>
      </c>
      <c r="G15" s="13">
        <v>9.48</v>
      </c>
      <c r="H15" s="13">
        <v>6.67</v>
      </c>
      <c r="I15" s="17">
        <f>(G15*100)/(G15+H15)</f>
        <v>58.699690402476783</v>
      </c>
      <c r="J15" s="17">
        <f>(H15*100)/(H15+G15)</f>
        <v>41.300309597523224</v>
      </c>
      <c r="K15" s="18">
        <f>(H15-G15)/(G15+H15)</f>
        <v>-0.17399380804953565</v>
      </c>
      <c r="L15" s="19">
        <f>G15+H15</f>
        <v>16.149999999999999</v>
      </c>
      <c r="M15" s="7">
        <v>13.95</v>
      </c>
      <c r="N15" s="7">
        <v>26.99</v>
      </c>
      <c r="O15" s="7">
        <v>17.68</v>
      </c>
      <c r="P15" s="7">
        <v>30.06</v>
      </c>
      <c r="Q15" s="10" t="s">
        <v>25</v>
      </c>
      <c r="R15" s="10" t="s">
        <v>58</v>
      </c>
      <c r="S15" s="7">
        <v>9</v>
      </c>
      <c r="T15" s="7">
        <v>6</v>
      </c>
      <c r="U15" s="13">
        <v>8.14</v>
      </c>
      <c r="V15" s="13">
        <v>10.61</v>
      </c>
      <c r="W15" s="17">
        <f>(U15*100)/(U15+V15)</f>
        <v>43.413333333333334</v>
      </c>
      <c r="X15" s="17">
        <f>(V15*100)/(V15+U15)</f>
        <v>56.586666666666666</v>
      </c>
      <c r="Y15" s="18">
        <f>(V15-U15)/(U15+V15)</f>
        <v>0.13173333333333329</v>
      </c>
      <c r="Z15" s="19">
        <f>U15+V15</f>
        <v>18.75</v>
      </c>
      <c r="AA15" s="7">
        <v>48.48</v>
      </c>
      <c r="AB15" s="7">
        <v>6.57</v>
      </c>
      <c r="AC15" s="7">
        <v>52.79</v>
      </c>
      <c r="AD15" s="7">
        <v>12.11</v>
      </c>
      <c r="AE15" s="10"/>
    </row>
    <row r="16" spans="1:31" x14ac:dyDescent="0.2">
      <c r="C16" s="7">
        <v>8</v>
      </c>
      <c r="D16" s="10" t="s">
        <v>24</v>
      </c>
      <c r="E16" s="7">
        <v>4</v>
      </c>
      <c r="F16" s="7">
        <v>1</v>
      </c>
      <c r="G16" s="13">
        <v>8.61</v>
      </c>
      <c r="H16" s="13">
        <v>5.21</v>
      </c>
      <c r="I16" s="17">
        <f>(G16*100)/(G16+H16)</f>
        <v>62.301013024602028</v>
      </c>
      <c r="J16" s="17">
        <f>(H16*100)/(H16+G16)</f>
        <v>37.698986975397972</v>
      </c>
      <c r="K16" s="18">
        <f>(H16-G16)/(G16+H16)</f>
        <v>-0.24602026049204048</v>
      </c>
      <c r="L16" s="19">
        <f>G16+H16</f>
        <v>13.82</v>
      </c>
      <c r="M16" s="7">
        <v>11.85</v>
      </c>
      <c r="N16" s="7">
        <v>57.26</v>
      </c>
      <c r="O16" s="7">
        <v>17.82</v>
      </c>
      <c r="P16" s="7">
        <v>62.56</v>
      </c>
      <c r="Q16" s="10" t="s">
        <v>25</v>
      </c>
      <c r="R16" s="10" t="s">
        <v>55</v>
      </c>
      <c r="S16" s="7">
        <v>6</v>
      </c>
      <c r="T16" s="7">
        <v>10</v>
      </c>
      <c r="U16" s="13">
        <v>12.08</v>
      </c>
      <c r="V16" s="13">
        <v>16.850000000000001</v>
      </c>
      <c r="W16" s="17">
        <f>(U16*100)/(U16+V16)</f>
        <v>41.7559626685102</v>
      </c>
      <c r="X16" s="17">
        <f>(V16*100)/(V16+U16)</f>
        <v>58.244037331489814</v>
      </c>
      <c r="Y16" s="18">
        <f>(V16-U16)/(U16+V16)</f>
        <v>0.1648807466297961</v>
      </c>
      <c r="Z16" s="19">
        <f>U16+V16</f>
        <v>28.93</v>
      </c>
      <c r="AA16" s="7">
        <v>10.71</v>
      </c>
      <c r="AB16" s="7">
        <v>4.24</v>
      </c>
      <c r="AC16" s="7">
        <v>15.08</v>
      </c>
      <c r="AD16" s="7">
        <v>8.68</v>
      </c>
      <c r="AE16" s="10"/>
    </row>
    <row r="17" spans="3:31" x14ac:dyDescent="0.2">
      <c r="C17" s="7">
        <v>10</v>
      </c>
      <c r="D17" s="10" t="s">
        <v>34</v>
      </c>
      <c r="E17" s="7">
        <v>16</v>
      </c>
      <c r="F17" s="7">
        <v>16</v>
      </c>
      <c r="G17" s="13">
        <v>24.56</v>
      </c>
      <c r="H17" s="13">
        <v>34.53</v>
      </c>
      <c r="I17" s="17">
        <f>(G17*100)/(G17+H17)</f>
        <v>41.563716364867147</v>
      </c>
      <c r="J17" s="17">
        <f>(H17*100)/(H17+G17)</f>
        <v>58.436283635132845</v>
      </c>
      <c r="K17" s="18">
        <f>(H17-G17)/(G17+H17)</f>
        <v>0.16872567270265698</v>
      </c>
      <c r="L17" s="19">
        <f>G17+H17</f>
        <v>59.09</v>
      </c>
      <c r="M17" s="7">
        <v>24.56</v>
      </c>
      <c r="N17" s="7">
        <v>17.28</v>
      </c>
      <c r="O17" s="7">
        <v>25.53</v>
      </c>
      <c r="P17" s="7">
        <v>20.12</v>
      </c>
      <c r="Q17" s="10" t="s">
        <v>25</v>
      </c>
      <c r="R17" s="10" t="s">
        <v>60</v>
      </c>
      <c r="S17" s="7">
        <v>17</v>
      </c>
      <c r="T17" s="7">
        <v>13</v>
      </c>
      <c r="U17" s="13">
        <v>37.97</v>
      </c>
      <c r="V17" s="13">
        <v>21.99</v>
      </c>
      <c r="W17" s="17">
        <f>(U17*100)/(U17+V17)</f>
        <v>63.32555036691128</v>
      </c>
      <c r="X17" s="17">
        <f>(V17*100)/(V17+U17)</f>
        <v>36.674449633088727</v>
      </c>
      <c r="Y17" s="18">
        <f>(V17-U17)/(U17+V17)</f>
        <v>-0.26651100733822553</v>
      </c>
      <c r="Z17" s="19">
        <f>U17+V17</f>
        <v>59.959999999999994</v>
      </c>
      <c r="AA17" s="7">
        <v>2.2999999999999998</v>
      </c>
      <c r="AB17" s="7">
        <v>16.55</v>
      </c>
      <c r="AC17" s="7">
        <v>14.05</v>
      </c>
      <c r="AD17" s="7">
        <v>30.6</v>
      </c>
      <c r="AE17" s="10"/>
    </row>
    <row r="19" spans="3:31" x14ac:dyDescent="0.2">
      <c r="C19" s="7">
        <v>2</v>
      </c>
      <c r="D19" s="10" t="s">
        <v>29</v>
      </c>
      <c r="E19" s="7">
        <v>4</v>
      </c>
      <c r="F19" s="7">
        <v>3</v>
      </c>
      <c r="G19" s="13">
        <v>11.54</v>
      </c>
      <c r="H19" s="13">
        <v>5.94</v>
      </c>
      <c r="I19" s="17">
        <f>(G19*100)/(G19+H19)</f>
        <v>66.0183066361556</v>
      </c>
      <c r="J19" s="17">
        <f>(H19*100)/(H19+G19)</f>
        <v>33.981693363844393</v>
      </c>
      <c r="K19" s="18">
        <f>(H19-G19)/(G19+H19)</f>
        <v>-0.32036613272311204</v>
      </c>
      <c r="L19" s="19">
        <f>G19+H19</f>
        <v>17.48</v>
      </c>
      <c r="M19" s="7">
        <v>19.690000000000001</v>
      </c>
      <c r="N19" s="7">
        <v>46.48</v>
      </c>
      <c r="O19" s="7">
        <v>26.03</v>
      </c>
      <c r="P19" s="7">
        <v>50.28</v>
      </c>
      <c r="Q19" s="10" t="s">
        <v>30</v>
      </c>
      <c r="R19" s="10" t="s">
        <v>58</v>
      </c>
      <c r="S19" s="7">
        <v>7</v>
      </c>
      <c r="T19" s="7">
        <v>8</v>
      </c>
      <c r="U19" s="13">
        <v>14.71</v>
      </c>
      <c r="V19" s="13">
        <v>14.11</v>
      </c>
      <c r="W19" s="17">
        <f>(U19*100)/(U19+V19)</f>
        <v>51.040943789035389</v>
      </c>
      <c r="X19" s="17">
        <f>(V19*100)/(V19+U19)</f>
        <v>48.959056210964604</v>
      </c>
      <c r="Y19" s="18">
        <f>(V19-U19)/(U19+V19)</f>
        <v>-2.0818875780707891E-2</v>
      </c>
      <c r="Z19" s="19">
        <f>U19+V19</f>
        <v>28.82</v>
      </c>
      <c r="AA19" s="7">
        <v>20.59</v>
      </c>
      <c r="AB19" s="7">
        <v>3.04</v>
      </c>
      <c r="AC19" s="7">
        <v>28.13</v>
      </c>
      <c r="AD19" s="7">
        <v>10.01</v>
      </c>
      <c r="AE19" s="10"/>
    </row>
    <row r="20" spans="3:31" x14ac:dyDescent="0.2">
      <c r="C20" s="7">
        <v>5</v>
      </c>
      <c r="D20" s="10" t="s">
        <v>24</v>
      </c>
      <c r="E20" s="7">
        <v>7</v>
      </c>
      <c r="F20" s="7">
        <v>7</v>
      </c>
      <c r="G20" s="13">
        <v>14.15</v>
      </c>
      <c r="H20" s="13">
        <v>10.28</v>
      </c>
      <c r="I20" s="17">
        <f>(G20*100)/(G20+H20)</f>
        <v>57.920589439214083</v>
      </c>
      <c r="J20" s="17">
        <f>(H20*100)/(H20+G20)</f>
        <v>42.079410560785917</v>
      </c>
      <c r="K20" s="18">
        <f>(H20-G20)/(G20+H20)</f>
        <v>-0.15841178878428167</v>
      </c>
      <c r="L20" s="19">
        <f>G20+H20</f>
        <v>24.43</v>
      </c>
      <c r="M20" s="7">
        <v>13.75</v>
      </c>
      <c r="N20" s="7">
        <v>2.34</v>
      </c>
      <c r="O20" s="7">
        <v>20.22</v>
      </c>
      <c r="P20" s="7">
        <v>6.11</v>
      </c>
      <c r="Q20" s="10" t="s">
        <v>30</v>
      </c>
      <c r="R20" s="10" t="s">
        <v>55</v>
      </c>
      <c r="S20" s="7">
        <v>5</v>
      </c>
      <c r="T20" s="7">
        <v>10</v>
      </c>
      <c r="U20" s="13">
        <v>10.34</v>
      </c>
      <c r="V20" s="13">
        <v>17.38</v>
      </c>
      <c r="W20" s="17">
        <f>(U20*100)/(U20+V20)</f>
        <v>37.301587301587304</v>
      </c>
      <c r="X20" s="17">
        <f>(V20*100)/(V20+U20)</f>
        <v>62.698412698412703</v>
      </c>
      <c r="Y20" s="18">
        <f>(V20-U20)/(U20+V20)</f>
        <v>0.25396825396825395</v>
      </c>
      <c r="Z20" s="19">
        <f>U20+V20</f>
        <v>27.72</v>
      </c>
      <c r="AA20" s="7">
        <v>22.52</v>
      </c>
      <c r="AB20" s="7">
        <v>3.57</v>
      </c>
      <c r="AC20" s="7">
        <v>27.76</v>
      </c>
      <c r="AD20" s="7">
        <v>8.7799999999999994</v>
      </c>
      <c r="AE20" s="10"/>
    </row>
    <row r="21" spans="3:31" x14ac:dyDescent="0.2">
      <c r="C21" s="7">
        <v>9</v>
      </c>
      <c r="D21" s="10" t="s">
        <v>29</v>
      </c>
      <c r="E21" s="7">
        <v>5</v>
      </c>
      <c r="F21" s="7">
        <v>8</v>
      </c>
      <c r="G21" s="13">
        <v>12.08</v>
      </c>
      <c r="H21" s="13">
        <v>7.04</v>
      </c>
      <c r="I21" s="17">
        <f>(G21*100)/(G21+H21)</f>
        <v>63.179916317991626</v>
      </c>
      <c r="J21" s="17">
        <f>(H21*100)/(H21+G21)</f>
        <v>36.820083682008367</v>
      </c>
      <c r="K21" s="18">
        <f>(H21-G21)/(G21+H21)</f>
        <v>-0.2635983263598326</v>
      </c>
      <c r="L21" s="19">
        <f>G21+H21</f>
        <v>19.12</v>
      </c>
      <c r="M21" s="7">
        <v>6.51</v>
      </c>
      <c r="N21" s="7">
        <v>28.66</v>
      </c>
      <c r="O21" s="7">
        <v>11.11</v>
      </c>
      <c r="P21" s="7">
        <v>29.33</v>
      </c>
      <c r="Q21" s="10" t="s">
        <v>30</v>
      </c>
      <c r="R21" s="10" t="s">
        <v>58</v>
      </c>
      <c r="S21" s="7">
        <v>12</v>
      </c>
      <c r="T21" s="7">
        <v>7</v>
      </c>
      <c r="U21" s="13">
        <v>13.91</v>
      </c>
      <c r="V21" s="13">
        <v>12.31</v>
      </c>
      <c r="W21" s="17">
        <f>(U21*100)/(U21+V21)</f>
        <v>53.051106025934402</v>
      </c>
      <c r="X21" s="17">
        <f>(V21*100)/(V21+U21)</f>
        <v>46.948893974065598</v>
      </c>
      <c r="Y21" s="18">
        <f>(V21-U21)/(U21+V21)</f>
        <v>-6.1022120518688015E-2</v>
      </c>
      <c r="Z21" s="19">
        <f>U21+V21</f>
        <v>26.22</v>
      </c>
      <c r="AA21" s="7">
        <v>7.87</v>
      </c>
      <c r="AB21" s="7">
        <v>17.420000000000002</v>
      </c>
      <c r="AC21" s="7">
        <v>9.24</v>
      </c>
      <c r="AD21" s="7">
        <v>19.12</v>
      </c>
      <c r="AE21" s="10"/>
    </row>
    <row r="22" spans="3:31" x14ac:dyDescent="0.2">
      <c r="C22" s="10"/>
      <c r="D22" s="10"/>
      <c r="Q22" s="10"/>
    </row>
    <row r="23" spans="3:31" x14ac:dyDescent="0.2">
      <c r="C23" s="7">
        <v>12</v>
      </c>
      <c r="D23" s="10" t="s">
        <v>24</v>
      </c>
      <c r="E23" s="7">
        <v>4</v>
      </c>
      <c r="F23" s="7">
        <v>7</v>
      </c>
      <c r="G23" s="13">
        <v>8.01</v>
      </c>
      <c r="H23" s="13">
        <v>10.44</v>
      </c>
      <c r="I23" s="17">
        <f>(G23*100)/(G23+H23)</f>
        <v>43.414634146341463</v>
      </c>
      <c r="J23" s="17">
        <f>(H23*100)/(H23+G23)</f>
        <v>56.585365853658537</v>
      </c>
      <c r="K23" s="18">
        <f>(H23-G23)/(G23+H23)</f>
        <v>0.13170731707317071</v>
      </c>
      <c r="L23" s="19">
        <f>G23+H23</f>
        <v>18.45</v>
      </c>
      <c r="M23" s="7">
        <v>19.02</v>
      </c>
      <c r="N23" s="7">
        <v>30.3</v>
      </c>
      <c r="O23" s="7">
        <v>21.02</v>
      </c>
      <c r="P23" s="7">
        <v>31.66</v>
      </c>
      <c r="Q23" s="10" t="s">
        <v>23</v>
      </c>
      <c r="R23" s="10" t="s">
        <v>55</v>
      </c>
      <c r="S23" s="7">
        <v>14</v>
      </c>
      <c r="T23" s="7">
        <v>11</v>
      </c>
      <c r="U23" s="13">
        <v>21.09</v>
      </c>
      <c r="V23" s="13">
        <v>15.75</v>
      </c>
      <c r="W23" s="17">
        <f>(U23*100)/(U23+V23)</f>
        <v>57.24755700325732</v>
      </c>
      <c r="X23" s="17">
        <f>(V23*100)/(V23+U23)</f>
        <v>42.752442996742666</v>
      </c>
      <c r="Y23" s="18">
        <f>(V23-U23)/(U23+V23)</f>
        <v>-0.14495114006514656</v>
      </c>
      <c r="Z23" s="19">
        <f>U23+V23</f>
        <v>36.840000000000003</v>
      </c>
      <c r="AA23" s="7">
        <v>3.74</v>
      </c>
      <c r="AB23" s="7">
        <v>12.05</v>
      </c>
      <c r="AC23" s="7">
        <v>8.34</v>
      </c>
      <c r="AD23" s="7">
        <v>16.850000000000001</v>
      </c>
      <c r="AE23" s="10"/>
    </row>
    <row r="24" spans="3:31" x14ac:dyDescent="0.2">
      <c r="D24" s="10"/>
      <c r="Q24" s="10"/>
    </row>
    <row r="25" spans="3:31" x14ac:dyDescent="0.2">
      <c r="D25" s="10"/>
      <c r="Q25" s="10"/>
    </row>
    <row r="26" spans="3:31" x14ac:dyDescent="0.2">
      <c r="D26" s="10"/>
      <c r="Q26" s="10"/>
    </row>
    <row r="27" spans="3:31" x14ac:dyDescent="0.2">
      <c r="D27" s="10"/>
      <c r="Q27" s="10"/>
    </row>
    <row r="28" spans="3:31" x14ac:dyDescent="0.2">
      <c r="D28" s="10"/>
      <c r="Q28" s="10"/>
    </row>
    <row r="29" spans="3:31" x14ac:dyDescent="0.2">
      <c r="D29" s="10"/>
      <c r="Q29" s="10"/>
    </row>
    <row r="30" spans="3:31" x14ac:dyDescent="0.2">
      <c r="D30" s="10"/>
      <c r="Q30" s="10"/>
    </row>
    <row r="31" spans="3:31" x14ac:dyDescent="0.2">
      <c r="D31" s="10"/>
      <c r="Q31" s="10"/>
    </row>
    <row r="32" spans="3:31" x14ac:dyDescent="0.2">
      <c r="D32" s="10"/>
      <c r="Q32" s="10"/>
    </row>
    <row r="33" spans="3:26" x14ac:dyDescent="0.2">
      <c r="D33" s="10"/>
      <c r="Q33" s="10"/>
    </row>
    <row r="34" spans="3:26" x14ac:dyDescent="0.2">
      <c r="D34" s="10"/>
      <c r="Q34" s="10"/>
    </row>
    <row r="35" spans="3:26" x14ac:dyDescent="0.2">
      <c r="C35" s="10"/>
      <c r="D35" s="10"/>
      <c r="Q35" s="10"/>
    </row>
    <row r="36" spans="3:26" x14ac:dyDescent="0.2">
      <c r="E36" s="11"/>
      <c r="F36" s="11"/>
      <c r="G36" s="11"/>
      <c r="H36" s="11"/>
      <c r="I36" s="11"/>
      <c r="J36" s="11"/>
      <c r="K36" s="11"/>
      <c r="L36" s="11"/>
      <c r="W36" s="11"/>
      <c r="X36" s="11"/>
      <c r="Y36" s="11"/>
      <c r="Z36" s="11"/>
    </row>
    <row r="37" spans="3:26" x14ac:dyDescent="0.2">
      <c r="C37" s="10"/>
      <c r="D37" s="10"/>
      <c r="Q37" s="10"/>
    </row>
    <row r="38" spans="3:26" x14ac:dyDescent="0.2">
      <c r="C38" s="10"/>
      <c r="D38" s="10"/>
      <c r="Q38" s="10"/>
    </row>
    <row r="39" spans="3:26" x14ac:dyDescent="0.2">
      <c r="C39" s="10"/>
      <c r="D39" s="10"/>
      <c r="Q39" s="10"/>
    </row>
    <row r="40" spans="3:26" x14ac:dyDescent="0.2">
      <c r="C40" s="10"/>
      <c r="D40" s="10"/>
      <c r="Q40" s="10"/>
    </row>
    <row r="41" spans="3:26" x14ac:dyDescent="0.2">
      <c r="C41" s="10"/>
      <c r="D41" s="10"/>
      <c r="Q41" s="10"/>
    </row>
    <row r="42" spans="3:26" x14ac:dyDescent="0.2">
      <c r="C42" s="10"/>
      <c r="D42" s="10"/>
      <c r="Q42" s="10"/>
    </row>
    <row r="43" spans="3:26" x14ac:dyDescent="0.2">
      <c r="C43" s="10"/>
      <c r="D43" s="10"/>
      <c r="Q43" s="10"/>
    </row>
    <row r="44" spans="3:26" x14ac:dyDescent="0.2">
      <c r="C44" s="10"/>
      <c r="D44" s="10"/>
      <c r="Q44" s="10"/>
    </row>
    <row r="45" spans="3:26" x14ac:dyDescent="0.2">
      <c r="C45" s="10"/>
      <c r="D45" s="10"/>
      <c r="Q45" s="10"/>
    </row>
    <row r="46" spans="3:26" x14ac:dyDescent="0.2">
      <c r="C46" s="10"/>
      <c r="D46" s="10"/>
      <c r="Q46" s="10"/>
    </row>
    <row r="47" spans="3:26" x14ac:dyDescent="0.2">
      <c r="C47" s="10"/>
      <c r="D47" s="10"/>
      <c r="Q47" s="10"/>
    </row>
    <row r="48" spans="3:26" x14ac:dyDescent="0.2">
      <c r="C48" s="10"/>
      <c r="D48" s="10"/>
      <c r="Q48" s="10"/>
    </row>
    <row r="49" spans="5:26" x14ac:dyDescent="0.2">
      <c r="E49" s="11"/>
      <c r="F49" s="11"/>
      <c r="G49" s="11"/>
      <c r="H49" s="11"/>
      <c r="I49" s="11"/>
      <c r="J49" s="11"/>
      <c r="K49" s="11"/>
      <c r="L49" s="11"/>
      <c r="W49" s="11"/>
      <c r="X49" s="11"/>
      <c r="Y49" s="11"/>
      <c r="Z49" s="11"/>
    </row>
  </sheetData>
  <sortState xmlns:xlrd2="http://schemas.microsoft.com/office/spreadsheetml/2017/richdata2" ref="C9:AD21">
    <sortCondition descending="1" ref="Q9:Q21"/>
  </sortState>
  <mergeCells count="10">
    <mergeCell ref="R6:AD6"/>
    <mergeCell ref="S7:T7"/>
    <mergeCell ref="U7:V7"/>
    <mergeCell ref="AA7:AB7"/>
    <mergeCell ref="AC7:AD7"/>
    <mergeCell ref="E7:F7"/>
    <mergeCell ref="G7:H7"/>
    <mergeCell ref="M7:N7"/>
    <mergeCell ref="O7:P7"/>
    <mergeCell ref="D6:P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Evt Detail</vt:lpstr>
      <vt:lpstr>All Evt Summary</vt:lpstr>
      <vt:lpstr>Bin Measure</vt:lpstr>
      <vt:lpstr>ORG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ObjectScan</dc:creator>
  <cp:lastModifiedBy>Janine Rossato</cp:lastModifiedBy>
  <dcterms:created xsi:type="dcterms:W3CDTF">2024-05-24T14:51:54Z</dcterms:created>
  <dcterms:modified xsi:type="dcterms:W3CDTF">2024-09-25T19:22:20Z</dcterms:modified>
</cp:coreProperties>
</file>